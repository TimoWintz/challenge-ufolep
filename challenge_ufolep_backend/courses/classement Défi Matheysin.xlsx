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ynet1-my.sharepoint.com/personal/gregory_bucci_araymond_com/Documents/Documents/Personnel/Vélo/T3M/Défi Matheysin/"/>
    </mc:Choice>
  </mc:AlternateContent>
  <xr:revisionPtr revIDLastSave="2810" documentId="8_{BD30E2E6-FC2B-4E95-8118-BA5710D5B170}" xr6:coauthVersionLast="47" xr6:coauthVersionMax="47" xr10:uidLastSave="{2D333C90-7A92-4CB2-8E76-608DD118AF37}"/>
  <bookViews>
    <workbookView minimized="1" xWindow="5760" yWindow="1452" windowWidth="17280" windowHeight="8928" xr2:uid="{00000000-000D-0000-FFFF-FFFF00000000}"/>
  </bookViews>
  <sheets>
    <sheet name="Classement CLM" sheetId="12" r:id="rId1"/>
    <sheet name="Classement V. Défi Matheysin" sheetId="11" r:id="rId2"/>
    <sheet name="Classement U15_16" sheetId="10" r:id="rId3"/>
    <sheet name="Classement U13_14" sheetId="9" r:id="rId4"/>
    <sheet name="Classement U4" sheetId="8" r:id="rId5"/>
    <sheet name="Classement U3" sheetId="7" r:id="rId6"/>
    <sheet name="Classemernt U2" sheetId="6" r:id="rId7"/>
    <sheet name="Classement U1" sheetId="5" r:id="rId8"/>
    <sheet name="Ecart départ avant Grimpée" sheetId="4" r:id="rId9"/>
    <sheet name="SAS départ Grimpée" sheetId="3" r:id="rId10"/>
    <sheet name="Contre-la-montre" sheetId="1" r:id="rId11"/>
    <sheet name="Horaires de départ CLM" sheetId="2" r:id="rId12"/>
  </sheets>
  <definedNames>
    <definedName name="_xlnm._FilterDatabase" localSheetId="10" hidden="1">'Contre-la-montre'!$A$1:$T$171</definedName>
    <definedName name="_xlnm.Print_Titles" localSheetId="10">'Contre-la-montre'!$1:$1</definedName>
    <definedName name="_xlnm.Print_Titles" localSheetId="11">'Horaires de départ CLM'!$1:$1</definedName>
    <definedName name="_xlnm.Print_Area" localSheetId="10">'Contre-la-montre'!$A$1:$V$82</definedName>
    <definedName name="_xlnm.Print_Area" localSheetId="8">'Ecart départ avant Grimpée'!$A$1:$L$58</definedName>
  </definedNames>
  <calcPr calcId="191029" iterate="1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2" l="1"/>
  <c r="I65" i="12" s="1"/>
  <c r="H64" i="12"/>
  <c r="I64" i="12" s="1"/>
  <c r="H63" i="12"/>
  <c r="I63" i="12" s="1"/>
  <c r="H62" i="12"/>
  <c r="I62" i="12" s="1"/>
  <c r="H61" i="12"/>
  <c r="I61" i="12" s="1"/>
  <c r="H60" i="12"/>
  <c r="I60" i="12" s="1"/>
  <c r="H59" i="12"/>
  <c r="I59" i="12" s="1"/>
  <c r="R2" i="1"/>
  <c r="S2" i="1" s="1"/>
  <c r="F69" i="4"/>
  <c r="G69" i="4" s="1"/>
  <c r="H69" i="4" s="1"/>
  <c r="F68" i="4"/>
  <c r="G68" i="4" s="1"/>
  <c r="H68" i="4" s="1"/>
  <c r="F67" i="4"/>
  <c r="G67" i="4" s="1"/>
  <c r="H67" i="4" s="1"/>
  <c r="F66" i="4"/>
  <c r="G66" i="4" s="1"/>
  <c r="H66" i="4" s="1"/>
  <c r="F65" i="4"/>
  <c r="G65" i="4" s="1"/>
  <c r="H65" i="4" s="1"/>
  <c r="F64" i="4"/>
  <c r="G64" i="4" s="1"/>
  <c r="H64" i="4" s="1"/>
  <c r="F63" i="4"/>
  <c r="G63" i="4" s="1"/>
  <c r="H63" i="4" s="1"/>
  <c r="F62" i="4"/>
  <c r="G62" i="4" s="1"/>
  <c r="H62" i="4" s="1"/>
  <c r="F61" i="4"/>
  <c r="G61" i="4" s="1"/>
  <c r="H61" i="4" s="1"/>
  <c r="F60" i="4"/>
  <c r="G60" i="4" s="1"/>
  <c r="H60" i="4" s="1"/>
  <c r="F59" i="4"/>
  <c r="G59" i="4" s="1"/>
  <c r="H59" i="4" s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R8" i="1"/>
  <c r="S8" i="1" s="1"/>
  <c r="G75" i="1"/>
  <c r="H75" i="1" s="1"/>
  <c r="R75" i="1"/>
  <c r="S75" i="1" s="1"/>
  <c r="T75" i="1"/>
  <c r="R6" i="1"/>
  <c r="S6" i="1" s="1"/>
  <c r="R3" i="1"/>
  <c r="S3" i="1" s="1"/>
  <c r="G76" i="1"/>
  <c r="H76" i="1" s="1"/>
  <c r="I76" i="1" s="1"/>
  <c r="R76" i="1"/>
  <c r="S76" i="1" s="1"/>
  <c r="T76" i="1"/>
  <c r="G77" i="1"/>
  <c r="H77" i="1" s="1"/>
  <c r="R77" i="1"/>
  <c r="S77" i="1" s="1"/>
  <c r="T77" i="1"/>
  <c r="G78" i="1"/>
  <c r="H78" i="1" s="1"/>
  <c r="I78" i="1" s="1"/>
  <c r="R78" i="1"/>
  <c r="S78" i="1" s="1"/>
  <c r="T78" i="1"/>
  <c r="R38" i="1"/>
  <c r="S38" i="1" s="1"/>
  <c r="G79" i="1"/>
  <c r="H79" i="1" s="1"/>
  <c r="R79" i="1"/>
  <c r="S79" i="1" s="1"/>
  <c r="T79" i="1"/>
  <c r="G80" i="1"/>
  <c r="H80" i="1" s="1"/>
  <c r="R80" i="1"/>
  <c r="S80" i="1" s="1"/>
  <c r="T80" i="1"/>
  <c r="R35" i="1"/>
  <c r="S35" i="1" s="1"/>
  <c r="R52" i="1"/>
  <c r="S52" i="1" s="1"/>
  <c r="R11" i="1"/>
  <c r="S11" i="1" s="1"/>
  <c r="R28" i="1"/>
  <c r="S28" i="1" s="1"/>
  <c r="R32" i="1"/>
  <c r="S32" i="1" s="1"/>
  <c r="R25" i="1"/>
  <c r="S25" i="1" s="1"/>
  <c r="R10" i="1"/>
  <c r="S10" i="1" s="1"/>
  <c r="R54" i="1"/>
  <c r="S54" i="1" s="1"/>
  <c r="G81" i="1"/>
  <c r="H81" i="1" s="1"/>
  <c r="I81" i="1" s="1"/>
  <c r="R81" i="1"/>
  <c r="S81" i="1" s="1"/>
  <c r="T81" i="1"/>
  <c r="G82" i="1"/>
  <c r="H82" i="1" s="1"/>
  <c r="R82" i="1"/>
  <c r="S82" i="1" s="1"/>
  <c r="T82" i="1"/>
  <c r="G83" i="1"/>
  <c r="H83" i="1" s="1"/>
  <c r="R83" i="1"/>
  <c r="S83" i="1" s="1"/>
  <c r="T83" i="1"/>
  <c r="G84" i="1"/>
  <c r="H84" i="1" s="1"/>
  <c r="R84" i="1"/>
  <c r="S84" i="1" s="1"/>
  <c r="T84" i="1"/>
  <c r="G85" i="1"/>
  <c r="H85" i="1" s="1"/>
  <c r="I85" i="1" s="1"/>
  <c r="R85" i="1"/>
  <c r="S85" i="1" s="1"/>
  <c r="T85" i="1"/>
  <c r="G86" i="1"/>
  <c r="H86" i="1" s="1"/>
  <c r="R86" i="1"/>
  <c r="S86" i="1" s="1"/>
  <c r="T86" i="1"/>
  <c r="G87" i="1"/>
  <c r="H87" i="1" s="1"/>
  <c r="R87" i="1"/>
  <c r="S87" i="1" s="1"/>
  <c r="T87" i="1"/>
  <c r="G88" i="1"/>
  <c r="H88" i="1" s="1"/>
  <c r="I88" i="1" s="1"/>
  <c r="R88" i="1"/>
  <c r="S88" i="1" s="1"/>
  <c r="T88" i="1"/>
  <c r="G89" i="1"/>
  <c r="H89" i="1" s="1"/>
  <c r="R89" i="1"/>
  <c r="S89" i="1" s="1"/>
  <c r="T89" i="1"/>
  <c r="G90" i="1"/>
  <c r="H90" i="1" s="1"/>
  <c r="R90" i="1"/>
  <c r="S90" i="1" s="1"/>
  <c r="T90" i="1"/>
  <c r="G91" i="1"/>
  <c r="H91" i="1" s="1"/>
  <c r="I91" i="1" s="1"/>
  <c r="R91" i="1"/>
  <c r="S91" i="1" s="1"/>
  <c r="T91" i="1"/>
  <c r="G92" i="1"/>
  <c r="H92" i="1" s="1"/>
  <c r="R92" i="1"/>
  <c r="S92" i="1" s="1"/>
  <c r="T92" i="1"/>
  <c r="G93" i="1"/>
  <c r="H93" i="1" s="1"/>
  <c r="I93" i="1" s="1"/>
  <c r="R93" i="1"/>
  <c r="S93" i="1" s="1"/>
  <c r="T93" i="1"/>
  <c r="G94" i="1"/>
  <c r="H94" i="1" s="1"/>
  <c r="R94" i="1"/>
  <c r="S94" i="1" s="1"/>
  <c r="T94" i="1"/>
  <c r="T59" i="1"/>
  <c r="T61" i="1"/>
  <c r="T57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96" i="1"/>
  <c r="T97" i="1"/>
  <c r="T98" i="1"/>
  <c r="T99" i="1"/>
  <c r="T100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96" i="1"/>
  <c r="G97" i="1"/>
  <c r="G98" i="1"/>
  <c r="G99" i="1"/>
  <c r="G100" i="1"/>
  <c r="R5" i="1"/>
  <c r="S5" i="1" s="1"/>
  <c r="R41" i="1"/>
  <c r="S41" i="1" s="1"/>
  <c r="R37" i="1"/>
  <c r="S37" i="1" s="1"/>
  <c r="R13" i="1"/>
  <c r="S13" i="1" s="1"/>
  <c r="R33" i="1"/>
  <c r="S33" i="1" s="1"/>
  <c r="R34" i="1"/>
  <c r="S34" i="1" s="1"/>
  <c r="R59" i="1"/>
  <c r="S59" i="1" s="1"/>
  <c r="R63" i="1"/>
  <c r="S63" i="1" s="1"/>
  <c r="R48" i="1"/>
  <c r="S48" i="1" s="1"/>
  <c r="R60" i="1"/>
  <c r="S60" i="1" s="1"/>
  <c r="R61" i="1"/>
  <c r="S61" i="1" s="1"/>
  <c r="R58" i="1"/>
  <c r="S58" i="1" s="1"/>
  <c r="R51" i="1"/>
  <c r="S51" i="1" s="1"/>
  <c r="R29" i="1"/>
  <c r="S29" i="1" s="1"/>
  <c r="R57" i="1"/>
  <c r="S57" i="1" s="1"/>
  <c r="R56" i="1"/>
  <c r="S56" i="1" s="1"/>
  <c r="R43" i="1"/>
  <c r="S43" i="1" s="1"/>
  <c r="R23" i="1"/>
  <c r="S23" i="1" s="1"/>
  <c r="R39" i="1"/>
  <c r="S39" i="1" s="1"/>
  <c r="R24" i="1"/>
  <c r="S24" i="1" s="1"/>
  <c r="R14" i="1"/>
  <c r="S14" i="1" s="1"/>
  <c r="R62" i="1"/>
  <c r="S62" i="1" s="1"/>
  <c r="R46" i="1"/>
  <c r="S46" i="1" s="1"/>
  <c r="R55" i="1"/>
  <c r="S55" i="1" s="1"/>
  <c r="R64" i="1"/>
  <c r="S64" i="1" s="1"/>
  <c r="R49" i="1"/>
  <c r="S49" i="1" s="1"/>
  <c r="R26" i="1"/>
  <c r="S26" i="1" s="1"/>
  <c r="R65" i="1"/>
  <c r="S65" i="1" s="1"/>
  <c r="R17" i="1"/>
  <c r="S17" i="1" s="1"/>
  <c r="R53" i="1"/>
  <c r="S53" i="1" s="1"/>
  <c r="R16" i="1"/>
  <c r="S16" i="1" s="1"/>
  <c r="R66" i="1"/>
  <c r="S66" i="1" s="1"/>
  <c r="R67" i="1"/>
  <c r="S67" i="1" s="1"/>
  <c r="R68" i="1"/>
  <c r="S68" i="1" s="1"/>
  <c r="R36" i="1"/>
  <c r="S36" i="1" s="1"/>
  <c r="R69" i="1"/>
  <c r="S69" i="1" s="1"/>
  <c r="R40" i="1"/>
  <c r="S40" i="1" s="1"/>
  <c r="R31" i="1"/>
  <c r="S31" i="1" s="1"/>
  <c r="R50" i="1"/>
  <c r="S50" i="1" s="1"/>
  <c r="R42" i="1"/>
  <c r="S42" i="1" s="1"/>
  <c r="R27" i="1"/>
  <c r="S27" i="1" s="1"/>
  <c r="R45" i="1"/>
  <c r="S45" i="1" s="1"/>
  <c r="R30" i="1"/>
  <c r="S30" i="1" s="1"/>
  <c r="R70" i="1"/>
  <c r="S70" i="1" s="1"/>
  <c r="R71" i="1"/>
  <c r="S71" i="1" s="1"/>
  <c r="R72" i="1"/>
  <c r="S72" i="1" s="1"/>
  <c r="R15" i="1"/>
  <c r="S15" i="1" s="1"/>
  <c r="R47" i="1"/>
  <c r="S47" i="1" s="1"/>
  <c r="R22" i="1"/>
  <c r="S22" i="1" s="1"/>
  <c r="R20" i="1"/>
  <c r="S20" i="1" s="1"/>
  <c r="R21" i="1"/>
  <c r="S21" i="1" s="1"/>
  <c r="R19" i="1"/>
  <c r="S19" i="1" s="1"/>
  <c r="R12" i="1"/>
  <c r="S12" i="1" s="1"/>
  <c r="R18" i="1"/>
  <c r="S18" i="1" s="1"/>
  <c r="R7" i="1"/>
  <c r="S7" i="1" s="1"/>
  <c r="R44" i="1"/>
  <c r="S44" i="1" s="1"/>
  <c r="R73" i="1"/>
  <c r="S73" i="1" s="1"/>
  <c r="R74" i="1"/>
  <c r="S74" i="1" s="1"/>
  <c r="R9" i="1"/>
  <c r="S9" i="1" s="1"/>
  <c r="R4" i="1"/>
  <c r="S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I86" i="1" l="1"/>
  <c r="I89" i="1"/>
  <c r="K89" i="1"/>
  <c r="I90" i="1"/>
  <c r="K90" i="1"/>
  <c r="I77" i="1"/>
  <c r="K77" i="1"/>
  <c r="K92" i="1"/>
  <c r="I92" i="1"/>
  <c r="I94" i="1"/>
  <c r="K94" i="1"/>
  <c r="I87" i="1"/>
  <c r="K88" i="1"/>
  <c r="K87" i="1"/>
  <c r="I82" i="1"/>
  <c r="K82" i="1"/>
  <c r="I75" i="1"/>
  <c r="I80" i="1"/>
  <c r="K80" i="1"/>
  <c r="K84" i="1"/>
  <c r="I84" i="1"/>
  <c r="K85" i="1"/>
  <c r="I83" i="1"/>
  <c r="I79" i="1"/>
  <c r="K86" i="1"/>
  <c r="K91" i="1"/>
  <c r="K93" i="1"/>
  <c r="K78" i="1"/>
  <c r="K83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96" i="1"/>
  <c r="H97" i="1"/>
  <c r="H98" i="1"/>
  <c r="H99" i="1"/>
  <c r="H100" i="1"/>
  <c r="I72" i="1" l="1"/>
  <c r="I70" i="1"/>
  <c r="I66" i="1"/>
  <c r="I65" i="1"/>
  <c r="I100" i="1"/>
  <c r="I99" i="1"/>
  <c r="I98" i="1"/>
  <c r="I96" i="1"/>
  <c r="K68" i="1"/>
  <c r="I64" i="1"/>
  <c r="K74" i="1"/>
  <c r="I68" i="1"/>
  <c r="I67" i="1"/>
  <c r="K64" i="1"/>
  <c r="I63" i="1"/>
  <c r="K98" i="1"/>
  <c r="I97" i="1"/>
  <c r="K97" i="1"/>
  <c r="K72" i="1"/>
  <c r="I71" i="1"/>
  <c r="K71" i="1"/>
  <c r="I74" i="1"/>
  <c r="I69" i="1"/>
  <c r="I73" i="1"/>
  <c r="I62" i="1"/>
  <c r="K99" i="1"/>
  <c r="K100" i="1"/>
  <c r="K67" i="1"/>
  <c r="T95" i="1" l="1"/>
  <c r="G95" i="1" l="1"/>
  <c r="H95" i="1" s="1"/>
  <c r="K95" i="1" l="1"/>
  <c r="K96" i="1"/>
  <c r="I95" i="1"/>
  <c r="T60" i="1" l="1"/>
  <c r="T58" i="1"/>
  <c r="G61" i="1" l="1"/>
  <c r="H61" i="1" s="1"/>
  <c r="I61" i="1" l="1"/>
  <c r="G60" i="1"/>
  <c r="H60" i="1" s="1"/>
  <c r="I60" i="1" l="1"/>
  <c r="K61" i="1"/>
  <c r="U101" i="1" l="1"/>
  <c r="U102" i="1" l="1"/>
  <c r="U103" i="1" l="1"/>
  <c r="U104" i="1" l="1"/>
  <c r="U105" i="1" l="1"/>
  <c r="U106" i="1" l="1"/>
  <c r="U107" i="1" l="1"/>
  <c r="U108" i="1" l="1"/>
  <c r="U109" i="1" l="1"/>
  <c r="U110" i="1" l="1"/>
  <c r="U111" i="1" l="1"/>
  <c r="U112" i="1" l="1"/>
  <c r="U113" i="1" l="1"/>
  <c r="U114" i="1" l="1"/>
  <c r="U115" i="1" l="1"/>
  <c r="U116" i="1" l="1"/>
  <c r="U117" i="1" l="1"/>
  <c r="U118" i="1" l="1"/>
  <c r="U119" i="1" l="1"/>
  <c r="U120" i="1"/>
  <c r="G59" i="1"/>
  <c r="H59" i="1" s="1"/>
  <c r="I59" i="1" l="1"/>
  <c r="K60" i="1" l="1"/>
  <c r="K62" i="1"/>
  <c r="K63" i="1"/>
  <c r="K65" i="1"/>
  <c r="K66" i="1"/>
  <c r="K69" i="1"/>
  <c r="K70" i="1"/>
  <c r="K73" i="1"/>
  <c r="K75" i="1"/>
  <c r="K76" i="1"/>
  <c r="K79" i="1"/>
  <c r="K81" i="1"/>
  <c r="A2" i="12"/>
  <c r="H2" i="12"/>
  <c r="I2" i="12"/>
  <c r="A3" i="12"/>
  <c r="H3" i="12"/>
  <c r="I3" i="12"/>
  <c r="A4" i="12"/>
  <c r="H4" i="12"/>
  <c r="I4" i="12"/>
  <c r="A5" i="12"/>
  <c r="H5" i="12"/>
  <c r="I5" i="12"/>
  <c r="A6" i="12"/>
  <c r="H6" i="12"/>
  <c r="I6" i="12"/>
  <c r="A7" i="12"/>
  <c r="H7" i="12"/>
  <c r="I7" i="12"/>
  <c r="A8" i="12"/>
  <c r="H8" i="12"/>
  <c r="I8" i="12"/>
  <c r="A9" i="12"/>
  <c r="H9" i="12"/>
  <c r="I9" i="12"/>
  <c r="A10" i="12"/>
  <c r="H10" i="12"/>
  <c r="I10" i="12"/>
  <c r="A11" i="12"/>
  <c r="H11" i="12"/>
  <c r="I11" i="12"/>
  <c r="A12" i="12"/>
  <c r="H12" i="12"/>
  <c r="I12" i="12"/>
  <c r="A13" i="12"/>
  <c r="H13" i="12"/>
  <c r="I13" i="12"/>
  <c r="A14" i="12"/>
  <c r="H14" i="12"/>
  <c r="I14" i="12"/>
  <c r="A15" i="12"/>
  <c r="H15" i="12"/>
  <c r="I15" i="12"/>
  <c r="A16" i="12"/>
  <c r="H16" i="12"/>
  <c r="I16" i="12"/>
  <c r="A17" i="12"/>
  <c r="H17" i="12"/>
  <c r="I17" i="12"/>
  <c r="A18" i="12"/>
  <c r="H18" i="12"/>
  <c r="I18" i="12"/>
  <c r="A19" i="12"/>
  <c r="H19" i="12"/>
  <c r="I19" i="12"/>
  <c r="A20" i="12"/>
  <c r="H20" i="12"/>
  <c r="I20" i="12"/>
  <c r="A21" i="12"/>
  <c r="H21" i="12"/>
  <c r="I21" i="12"/>
  <c r="A22" i="12"/>
  <c r="H22" i="12"/>
  <c r="I22" i="12"/>
  <c r="A23" i="12"/>
  <c r="H23" i="12"/>
  <c r="I23" i="12"/>
  <c r="A24" i="12"/>
  <c r="H24" i="12"/>
  <c r="I24" i="12"/>
  <c r="A25" i="12"/>
  <c r="H25" i="12"/>
  <c r="I25" i="12"/>
  <c r="A26" i="12"/>
  <c r="H26" i="12"/>
  <c r="I26" i="12"/>
  <c r="A27" i="12"/>
  <c r="H27" i="12"/>
  <c r="I27" i="12"/>
  <c r="A28" i="12"/>
  <c r="H28" i="12"/>
  <c r="I28" i="12"/>
  <c r="A29" i="12"/>
  <c r="H29" i="12"/>
  <c r="I29" i="12"/>
  <c r="A30" i="12"/>
  <c r="H30" i="12"/>
  <c r="I30" i="12"/>
  <c r="A31" i="12"/>
  <c r="H31" i="12"/>
  <c r="I31" i="12"/>
  <c r="A32" i="12"/>
  <c r="H32" i="12"/>
  <c r="I32" i="12"/>
  <c r="A33" i="12"/>
  <c r="H33" i="12"/>
  <c r="I33" i="12"/>
  <c r="A34" i="12"/>
  <c r="H34" i="12"/>
  <c r="I34" i="12"/>
  <c r="A35" i="12"/>
  <c r="H35" i="12"/>
  <c r="I35" i="12"/>
  <c r="A36" i="12"/>
  <c r="H36" i="12"/>
  <c r="I36" i="12"/>
  <c r="A37" i="12"/>
  <c r="H37" i="12"/>
  <c r="I37" i="12"/>
  <c r="A38" i="12"/>
  <c r="H38" i="12"/>
  <c r="I38" i="12"/>
  <c r="A39" i="12"/>
  <c r="H39" i="12"/>
  <c r="I39" i="12"/>
  <c r="A40" i="12"/>
  <c r="H40" i="12"/>
  <c r="I40" i="12"/>
  <c r="A41" i="12"/>
  <c r="H41" i="12"/>
  <c r="I41" i="12"/>
  <c r="A42" i="12"/>
  <c r="H42" i="12"/>
  <c r="I42" i="12"/>
  <c r="A43" i="12"/>
  <c r="H43" i="12"/>
  <c r="I43" i="12"/>
  <c r="A44" i="12"/>
  <c r="H44" i="12"/>
  <c r="I44" i="12"/>
  <c r="A45" i="12"/>
  <c r="H45" i="12"/>
  <c r="I45" i="12"/>
  <c r="A46" i="12"/>
  <c r="H46" i="12"/>
  <c r="I46" i="12"/>
  <c r="A47" i="12"/>
  <c r="H47" i="12"/>
  <c r="I47" i="12"/>
  <c r="A48" i="12"/>
  <c r="H48" i="12"/>
  <c r="I48" i="12"/>
  <c r="A49" i="12"/>
  <c r="H49" i="12"/>
  <c r="I49" i="12"/>
  <c r="A50" i="12"/>
  <c r="H50" i="12"/>
  <c r="I50" i="12"/>
  <c r="A51" i="12"/>
  <c r="H51" i="12"/>
  <c r="I51" i="12"/>
  <c r="A52" i="12"/>
  <c r="H52" i="12"/>
  <c r="I52" i="12"/>
  <c r="A53" i="12"/>
  <c r="H53" i="12"/>
  <c r="I53" i="12"/>
  <c r="A54" i="12"/>
  <c r="H54" i="12"/>
  <c r="I54" i="12"/>
  <c r="A55" i="12"/>
  <c r="H55" i="12"/>
  <c r="I55" i="12"/>
  <c r="A56" i="12"/>
  <c r="H56" i="12"/>
  <c r="I56" i="12"/>
  <c r="A57" i="12"/>
  <c r="H57" i="12"/>
  <c r="I57" i="12"/>
  <c r="A58" i="12"/>
  <c r="H58" i="12"/>
  <c r="I58" i="12"/>
  <c r="G2" i="1"/>
  <c r="H2" i="1"/>
  <c r="I2" i="1"/>
  <c r="J2" i="1"/>
  <c r="T2" i="1"/>
  <c r="U2" i="1"/>
  <c r="G3" i="1"/>
  <c r="H3" i="1"/>
  <c r="I3" i="1"/>
  <c r="J3" i="1"/>
  <c r="K3" i="1"/>
  <c r="L3" i="1"/>
  <c r="M3" i="1"/>
  <c r="T3" i="1"/>
  <c r="U3" i="1"/>
  <c r="G4" i="1"/>
  <c r="H4" i="1"/>
  <c r="I4" i="1"/>
  <c r="J4" i="1"/>
  <c r="K4" i="1"/>
  <c r="L4" i="1"/>
  <c r="M4" i="1"/>
  <c r="T4" i="1"/>
  <c r="U4" i="1"/>
  <c r="G5" i="1"/>
  <c r="H5" i="1"/>
  <c r="I5" i="1"/>
  <c r="J5" i="1"/>
  <c r="K5" i="1"/>
  <c r="L5" i="1"/>
  <c r="M5" i="1"/>
  <c r="T5" i="1"/>
  <c r="U5" i="1"/>
  <c r="G6" i="1"/>
  <c r="H6" i="1"/>
  <c r="I6" i="1"/>
  <c r="J6" i="1"/>
  <c r="K6" i="1"/>
  <c r="L6" i="1"/>
  <c r="M6" i="1"/>
  <c r="T6" i="1"/>
  <c r="U6" i="1"/>
  <c r="G7" i="1"/>
  <c r="H7" i="1"/>
  <c r="I7" i="1"/>
  <c r="J7" i="1"/>
  <c r="K7" i="1"/>
  <c r="L7" i="1"/>
  <c r="M7" i="1"/>
  <c r="T7" i="1"/>
  <c r="U7" i="1"/>
  <c r="G8" i="1"/>
  <c r="H8" i="1"/>
  <c r="I8" i="1"/>
  <c r="J8" i="1"/>
  <c r="K8" i="1"/>
  <c r="L8" i="1"/>
  <c r="M8" i="1"/>
  <c r="T8" i="1"/>
  <c r="U8" i="1"/>
  <c r="G9" i="1"/>
  <c r="H9" i="1"/>
  <c r="I9" i="1"/>
  <c r="J9" i="1"/>
  <c r="K9" i="1"/>
  <c r="L9" i="1"/>
  <c r="M9" i="1"/>
  <c r="T9" i="1"/>
  <c r="U9" i="1"/>
  <c r="G10" i="1"/>
  <c r="H10" i="1"/>
  <c r="I10" i="1"/>
  <c r="J10" i="1"/>
  <c r="K10" i="1"/>
  <c r="L10" i="1"/>
  <c r="M10" i="1"/>
  <c r="T10" i="1"/>
  <c r="U10" i="1"/>
  <c r="G11" i="1"/>
  <c r="H11" i="1"/>
  <c r="I11" i="1"/>
  <c r="J11" i="1"/>
  <c r="K11" i="1"/>
  <c r="L11" i="1"/>
  <c r="M11" i="1"/>
  <c r="T11" i="1"/>
  <c r="U11" i="1"/>
  <c r="G12" i="1"/>
  <c r="H12" i="1"/>
  <c r="I12" i="1"/>
  <c r="J12" i="1"/>
  <c r="K12" i="1"/>
  <c r="L12" i="1"/>
  <c r="M12" i="1"/>
  <c r="T12" i="1"/>
  <c r="U12" i="1"/>
  <c r="G13" i="1"/>
  <c r="H13" i="1"/>
  <c r="I13" i="1"/>
  <c r="J13" i="1"/>
  <c r="K13" i="1"/>
  <c r="L13" i="1"/>
  <c r="M13" i="1"/>
  <c r="T13" i="1"/>
  <c r="U13" i="1"/>
  <c r="G14" i="1"/>
  <c r="H14" i="1"/>
  <c r="I14" i="1"/>
  <c r="J14" i="1"/>
  <c r="K14" i="1"/>
  <c r="L14" i="1"/>
  <c r="M14" i="1"/>
  <c r="T14" i="1"/>
  <c r="U14" i="1"/>
  <c r="G15" i="1"/>
  <c r="H15" i="1"/>
  <c r="I15" i="1"/>
  <c r="J15" i="1"/>
  <c r="K15" i="1"/>
  <c r="L15" i="1"/>
  <c r="M15" i="1"/>
  <c r="T15" i="1"/>
  <c r="U15" i="1"/>
  <c r="G16" i="1"/>
  <c r="H16" i="1"/>
  <c r="I16" i="1"/>
  <c r="J16" i="1"/>
  <c r="K16" i="1"/>
  <c r="L16" i="1"/>
  <c r="M16" i="1"/>
  <c r="T16" i="1"/>
  <c r="U16" i="1"/>
  <c r="G17" i="1"/>
  <c r="H17" i="1"/>
  <c r="I17" i="1"/>
  <c r="J17" i="1"/>
  <c r="K17" i="1"/>
  <c r="L17" i="1"/>
  <c r="M17" i="1"/>
  <c r="T17" i="1"/>
  <c r="U17" i="1"/>
  <c r="G18" i="1"/>
  <c r="H18" i="1"/>
  <c r="I18" i="1"/>
  <c r="J18" i="1"/>
  <c r="K18" i="1"/>
  <c r="L18" i="1"/>
  <c r="M18" i="1"/>
  <c r="T18" i="1"/>
  <c r="U18" i="1"/>
  <c r="G19" i="1"/>
  <c r="H19" i="1"/>
  <c r="I19" i="1"/>
  <c r="J19" i="1"/>
  <c r="K19" i="1"/>
  <c r="L19" i="1"/>
  <c r="M19" i="1"/>
  <c r="T19" i="1"/>
  <c r="U19" i="1"/>
  <c r="G20" i="1"/>
  <c r="H20" i="1"/>
  <c r="I20" i="1"/>
  <c r="J20" i="1"/>
  <c r="K20" i="1"/>
  <c r="L20" i="1"/>
  <c r="M20" i="1"/>
  <c r="T20" i="1"/>
  <c r="U20" i="1"/>
  <c r="G21" i="1"/>
  <c r="H21" i="1"/>
  <c r="I21" i="1"/>
  <c r="J21" i="1"/>
  <c r="K21" i="1"/>
  <c r="L21" i="1"/>
  <c r="M21" i="1"/>
  <c r="T21" i="1"/>
  <c r="U21" i="1"/>
  <c r="G22" i="1"/>
  <c r="H22" i="1"/>
  <c r="I22" i="1"/>
  <c r="J22" i="1"/>
  <c r="K22" i="1"/>
  <c r="L22" i="1"/>
  <c r="M22" i="1"/>
  <c r="T22" i="1"/>
  <c r="U22" i="1"/>
  <c r="G23" i="1"/>
  <c r="H23" i="1"/>
  <c r="I23" i="1"/>
  <c r="J23" i="1"/>
  <c r="K23" i="1"/>
  <c r="L23" i="1"/>
  <c r="M23" i="1"/>
  <c r="T23" i="1"/>
  <c r="U23" i="1"/>
  <c r="G24" i="1"/>
  <c r="H24" i="1"/>
  <c r="I24" i="1"/>
  <c r="J24" i="1"/>
  <c r="K24" i="1"/>
  <c r="L24" i="1"/>
  <c r="M24" i="1"/>
  <c r="T24" i="1"/>
  <c r="U24" i="1"/>
  <c r="G25" i="1"/>
  <c r="H25" i="1"/>
  <c r="I25" i="1"/>
  <c r="J25" i="1"/>
  <c r="K25" i="1"/>
  <c r="L25" i="1"/>
  <c r="M25" i="1"/>
  <c r="T25" i="1"/>
  <c r="U25" i="1"/>
  <c r="G26" i="1"/>
  <c r="H26" i="1"/>
  <c r="I26" i="1"/>
  <c r="J26" i="1"/>
  <c r="K26" i="1"/>
  <c r="L26" i="1"/>
  <c r="M26" i="1"/>
  <c r="T26" i="1"/>
  <c r="U26" i="1"/>
  <c r="G27" i="1"/>
  <c r="H27" i="1"/>
  <c r="I27" i="1"/>
  <c r="J27" i="1"/>
  <c r="K27" i="1"/>
  <c r="L27" i="1"/>
  <c r="M27" i="1"/>
  <c r="T27" i="1"/>
  <c r="U27" i="1"/>
  <c r="G28" i="1"/>
  <c r="H28" i="1"/>
  <c r="I28" i="1"/>
  <c r="J28" i="1"/>
  <c r="K28" i="1"/>
  <c r="L28" i="1"/>
  <c r="M28" i="1"/>
  <c r="T28" i="1"/>
  <c r="U28" i="1"/>
  <c r="G29" i="1"/>
  <c r="H29" i="1"/>
  <c r="I29" i="1"/>
  <c r="J29" i="1"/>
  <c r="K29" i="1"/>
  <c r="L29" i="1"/>
  <c r="M29" i="1"/>
  <c r="T29" i="1"/>
  <c r="U29" i="1"/>
  <c r="G30" i="1"/>
  <c r="H30" i="1"/>
  <c r="I30" i="1"/>
  <c r="J30" i="1"/>
  <c r="K30" i="1"/>
  <c r="L30" i="1"/>
  <c r="M30" i="1"/>
  <c r="T30" i="1"/>
  <c r="U30" i="1"/>
  <c r="G31" i="1"/>
  <c r="H31" i="1"/>
  <c r="I31" i="1"/>
  <c r="J31" i="1"/>
  <c r="K31" i="1"/>
  <c r="L31" i="1"/>
  <c r="M31" i="1"/>
  <c r="T31" i="1"/>
  <c r="U31" i="1"/>
  <c r="G32" i="1"/>
  <c r="H32" i="1"/>
  <c r="I32" i="1"/>
  <c r="J32" i="1"/>
  <c r="K32" i="1"/>
  <c r="L32" i="1"/>
  <c r="M32" i="1"/>
  <c r="T32" i="1"/>
  <c r="U32" i="1"/>
  <c r="G33" i="1"/>
  <c r="H33" i="1"/>
  <c r="I33" i="1"/>
  <c r="J33" i="1"/>
  <c r="K33" i="1"/>
  <c r="L33" i="1"/>
  <c r="M33" i="1"/>
  <c r="T33" i="1"/>
  <c r="U33" i="1"/>
  <c r="G34" i="1"/>
  <c r="H34" i="1"/>
  <c r="I34" i="1"/>
  <c r="J34" i="1"/>
  <c r="K34" i="1"/>
  <c r="L34" i="1"/>
  <c r="M34" i="1"/>
  <c r="T34" i="1"/>
  <c r="U34" i="1"/>
  <c r="G35" i="1"/>
  <c r="H35" i="1"/>
  <c r="I35" i="1"/>
  <c r="J35" i="1"/>
  <c r="K35" i="1"/>
  <c r="L35" i="1"/>
  <c r="M35" i="1"/>
  <c r="T35" i="1"/>
  <c r="U35" i="1"/>
  <c r="G36" i="1"/>
  <c r="H36" i="1"/>
  <c r="I36" i="1"/>
  <c r="J36" i="1"/>
  <c r="K36" i="1"/>
  <c r="L36" i="1"/>
  <c r="M36" i="1"/>
  <c r="T36" i="1"/>
  <c r="U36" i="1"/>
  <c r="G37" i="1"/>
  <c r="H37" i="1"/>
  <c r="I37" i="1"/>
  <c r="J37" i="1"/>
  <c r="K37" i="1"/>
  <c r="L37" i="1"/>
  <c r="M37" i="1"/>
  <c r="T37" i="1"/>
  <c r="U37" i="1"/>
  <c r="G38" i="1"/>
  <c r="H38" i="1"/>
  <c r="I38" i="1"/>
  <c r="J38" i="1"/>
  <c r="K38" i="1"/>
  <c r="L38" i="1"/>
  <c r="M38" i="1"/>
  <c r="T38" i="1"/>
  <c r="U38" i="1"/>
  <c r="G39" i="1"/>
  <c r="H39" i="1"/>
  <c r="I39" i="1"/>
  <c r="J39" i="1"/>
  <c r="K39" i="1"/>
  <c r="L39" i="1"/>
  <c r="M39" i="1"/>
  <c r="T39" i="1"/>
  <c r="U39" i="1"/>
  <c r="G40" i="1"/>
  <c r="H40" i="1"/>
  <c r="I40" i="1"/>
  <c r="J40" i="1"/>
  <c r="K40" i="1"/>
  <c r="L40" i="1"/>
  <c r="M40" i="1"/>
  <c r="T40" i="1"/>
  <c r="U40" i="1"/>
  <c r="G41" i="1"/>
  <c r="H41" i="1"/>
  <c r="I41" i="1"/>
  <c r="J41" i="1"/>
  <c r="K41" i="1"/>
  <c r="L41" i="1"/>
  <c r="M41" i="1"/>
  <c r="T41" i="1"/>
  <c r="U41" i="1"/>
  <c r="G42" i="1"/>
  <c r="H42" i="1"/>
  <c r="I42" i="1"/>
  <c r="J42" i="1"/>
  <c r="K42" i="1"/>
  <c r="L42" i="1"/>
  <c r="M42" i="1"/>
  <c r="T42" i="1"/>
  <c r="U42" i="1"/>
  <c r="G43" i="1"/>
  <c r="H43" i="1"/>
  <c r="I43" i="1"/>
  <c r="J43" i="1"/>
  <c r="K43" i="1"/>
  <c r="L43" i="1"/>
  <c r="M43" i="1"/>
  <c r="T43" i="1"/>
  <c r="U43" i="1"/>
  <c r="G44" i="1"/>
  <c r="H44" i="1"/>
  <c r="I44" i="1"/>
  <c r="J44" i="1"/>
  <c r="K44" i="1"/>
  <c r="L44" i="1"/>
  <c r="M44" i="1"/>
  <c r="T44" i="1"/>
  <c r="U44" i="1"/>
  <c r="G45" i="1"/>
  <c r="H45" i="1"/>
  <c r="I45" i="1"/>
  <c r="J45" i="1"/>
  <c r="K45" i="1"/>
  <c r="L45" i="1"/>
  <c r="M45" i="1"/>
  <c r="T45" i="1"/>
  <c r="U45" i="1"/>
  <c r="G46" i="1"/>
  <c r="H46" i="1"/>
  <c r="I46" i="1"/>
  <c r="J46" i="1"/>
  <c r="K46" i="1"/>
  <c r="L46" i="1"/>
  <c r="M46" i="1"/>
  <c r="T46" i="1"/>
  <c r="U46" i="1"/>
  <c r="G47" i="1"/>
  <c r="H47" i="1"/>
  <c r="I47" i="1"/>
  <c r="J47" i="1"/>
  <c r="K47" i="1"/>
  <c r="L47" i="1"/>
  <c r="M47" i="1"/>
  <c r="T47" i="1"/>
  <c r="U47" i="1"/>
  <c r="G48" i="1"/>
  <c r="H48" i="1"/>
  <c r="I48" i="1"/>
  <c r="J48" i="1"/>
  <c r="K48" i="1"/>
  <c r="L48" i="1"/>
  <c r="M48" i="1"/>
  <c r="T48" i="1"/>
  <c r="U48" i="1"/>
  <c r="G49" i="1"/>
  <c r="H49" i="1"/>
  <c r="I49" i="1"/>
  <c r="J49" i="1"/>
  <c r="K49" i="1"/>
  <c r="L49" i="1"/>
  <c r="M49" i="1"/>
  <c r="T49" i="1"/>
  <c r="U49" i="1"/>
  <c r="G50" i="1"/>
  <c r="H50" i="1"/>
  <c r="I50" i="1"/>
  <c r="J50" i="1"/>
  <c r="K50" i="1"/>
  <c r="L50" i="1"/>
  <c r="M50" i="1"/>
  <c r="T50" i="1"/>
  <c r="U50" i="1"/>
  <c r="G51" i="1"/>
  <c r="H51" i="1"/>
  <c r="I51" i="1"/>
  <c r="J51" i="1"/>
  <c r="K51" i="1"/>
  <c r="L51" i="1"/>
  <c r="M51" i="1"/>
  <c r="T51" i="1"/>
  <c r="U51" i="1"/>
  <c r="G52" i="1"/>
  <c r="H52" i="1"/>
  <c r="I52" i="1"/>
  <c r="J52" i="1"/>
  <c r="K52" i="1"/>
  <c r="L52" i="1"/>
  <c r="M52" i="1"/>
  <c r="T52" i="1"/>
  <c r="U52" i="1"/>
  <c r="G53" i="1"/>
  <c r="H53" i="1"/>
  <c r="I53" i="1"/>
  <c r="J53" i="1"/>
  <c r="K53" i="1"/>
  <c r="L53" i="1"/>
  <c r="M53" i="1"/>
  <c r="T53" i="1"/>
  <c r="U53" i="1"/>
  <c r="G54" i="1"/>
  <c r="H54" i="1"/>
  <c r="I54" i="1"/>
  <c r="J54" i="1"/>
  <c r="K54" i="1"/>
  <c r="L54" i="1"/>
  <c r="M54" i="1"/>
  <c r="T54" i="1"/>
  <c r="U54" i="1"/>
  <c r="G55" i="1"/>
  <c r="H55" i="1"/>
  <c r="I55" i="1"/>
  <c r="J55" i="1"/>
  <c r="K55" i="1"/>
  <c r="L55" i="1"/>
  <c r="M55" i="1"/>
  <c r="T55" i="1"/>
  <c r="U55" i="1"/>
  <c r="G56" i="1"/>
  <c r="H56" i="1"/>
  <c r="I56" i="1"/>
  <c r="J56" i="1"/>
  <c r="K56" i="1"/>
  <c r="L56" i="1"/>
  <c r="M56" i="1"/>
  <c r="T56" i="1"/>
  <c r="U56" i="1"/>
  <c r="G57" i="1"/>
  <c r="H57" i="1"/>
  <c r="I57" i="1"/>
  <c r="J57" i="1"/>
  <c r="K57" i="1"/>
  <c r="L57" i="1"/>
  <c r="M57" i="1"/>
  <c r="U57" i="1"/>
  <c r="G58" i="1"/>
  <c r="H58" i="1"/>
  <c r="I58" i="1"/>
  <c r="J58" i="1"/>
  <c r="K58" i="1"/>
  <c r="L58" i="1"/>
  <c r="M58" i="1"/>
  <c r="U58" i="1"/>
  <c r="K59" i="1"/>
  <c r="L59" i="1"/>
  <c r="M59" i="1"/>
  <c r="U59" i="1"/>
  <c r="L60" i="1"/>
  <c r="M60" i="1"/>
  <c r="U60" i="1"/>
  <c r="L61" i="1"/>
  <c r="M61" i="1"/>
  <c r="U61" i="1"/>
  <c r="L62" i="1"/>
  <c r="M62" i="1"/>
  <c r="U62" i="1"/>
  <c r="L63" i="1"/>
  <c r="M63" i="1"/>
  <c r="U63" i="1"/>
  <c r="L64" i="1"/>
  <c r="M64" i="1"/>
  <c r="U64" i="1"/>
  <c r="L65" i="1"/>
  <c r="M65" i="1"/>
  <c r="U65" i="1"/>
  <c r="L66" i="1"/>
  <c r="M66" i="1"/>
  <c r="U66" i="1"/>
  <c r="L67" i="1"/>
  <c r="M67" i="1"/>
  <c r="U67" i="1"/>
  <c r="L68" i="1"/>
  <c r="M68" i="1"/>
  <c r="U68" i="1"/>
  <c r="L69" i="1"/>
  <c r="M69" i="1"/>
  <c r="U69" i="1"/>
  <c r="L70" i="1"/>
  <c r="M70" i="1"/>
  <c r="U70" i="1"/>
  <c r="L71" i="1"/>
  <c r="M71" i="1"/>
  <c r="U71" i="1"/>
  <c r="L72" i="1"/>
  <c r="M72" i="1"/>
  <c r="U72" i="1"/>
  <c r="L73" i="1"/>
  <c r="M73" i="1"/>
  <c r="U73" i="1"/>
  <c r="L74" i="1"/>
  <c r="M74" i="1"/>
  <c r="U74" i="1"/>
  <c r="L75" i="1"/>
  <c r="M75" i="1"/>
  <c r="U75" i="1"/>
  <c r="L76" i="1"/>
  <c r="M76" i="1"/>
  <c r="U76" i="1"/>
  <c r="L77" i="1"/>
  <c r="M77" i="1"/>
  <c r="U77" i="1"/>
  <c r="L78" i="1"/>
  <c r="M78" i="1"/>
  <c r="U78" i="1"/>
  <c r="L79" i="1"/>
  <c r="M79" i="1"/>
  <c r="U79" i="1"/>
  <c r="L80" i="1"/>
  <c r="M80" i="1"/>
  <c r="U80" i="1"/>
  <c r="L81" i="1"/>
  <c r="M81" i="1"/>
  <c r="U81" i="1"/>
  <c r="L82" i="1"/>
  <c r="M82" i="1"/>
  <c r="U82" i="1"/>
  <c r="L83" i="1"/>
  <c r="M83" i="1"/>
  <c r="U83" i="1"/>
  <c r="L84" i="1"/>
  <c r="M84" i="1"/>
  <c r="U84" i="1"/>
  <c r="L85" i="1"/>
  <c r="M85" i="1"/>
  <c r="U85" i="1"/>
  <c r="L86" i="1"/>
  <c r="M86" i="1"/>
  <c r="U86" i="1"/>
  <c r="L87" i="1"/>
  <c r="M87" i="1"/>
  <c r="U87" i="1"/>
  <c r="L88" i="1"/>
  <c r="M88" i="1"/>
  <c r="U88" i="1"/>
  <c r="L89" i="1"/>
  <c r="M89" i="1"/>
  <c r="U89" i="1"/>
  <c r="L90" i="1"/>
  <c r="M90" i="1"/>
  <c r="U90" i="1"/>
  <c r="L91" i="1"/>
  <c r="M91" i="1"/>
  <c r="U91" i="1"/>
  <c r="L92" i="1"/>
  <c r="M92" i="1"/>
  <c r="U92" i="1"/>
  <c r="L93" i="1"/>
  <c r="M93" i="1"/>
  <c r="U93" i="1"/>
  <c r="L94" i="1"/>
  <c r="M94" i="1"/>
  <c r="U94" i="1"/>
  <c r="L95" i="1"/>
  <c r="M95" i="1"/>
  <c r="U95" i="1"/>
  <c r="L96" i="1"/>
  <c r="M96" i="1"/>
  <c r="U96" i="1"/>
  <c r="L97" i="1"/>
  <c r="M97" i="1"/>
  <c r="U97" i="1"/>
  <c r="L98" i="1"/>
  <c r="M98" i="1"/>
  <c r="U98" i="1"/>
  <c r="L99" i="1"/>
  <c r="M99" i="1"/>
  <c r="U99" i="1"/>
  <c r="L100" i="1"/>
  <c r="M100" i="1"/>
  <c r="U100" i="1"/>
  <c r="G2" i="4"/>
  <c r="H2" i="4"/>
  <c r="I2" i="4"/>
  <c r="J2" i="4"/>
  <c r="G3" i="4"/>
  <c r="H3" i="4"/>
  <c r="I3" i="4"/>
  <c r="J3" i="4"/>
  <c r="K3" i="4"/>
  <c r="L3" i="4"/>
  <c r="M3" i="4"/>
  <c r="G4" i="4"/>
  <c r="H4" i="4"/>
  <c r="I4" i="4"/>
  <c r="J4" i="4"/>
  <c r="K4" i="4"/>
  <c r="L4" i="4"/>
  <c r="M4" i="4"/>
  <c r="G5" i="4"/>
  <c r="H5" i="4"/>
  <c r="I5" i="4"/>
  <c r="J5" i="4"/>
  <c r="K5" i="4"/>
  <c r="L5" i="4"/>
  <c r="M5" i="4"/>
  <c r="G6" i="4"/>
  <c r="H6" i="4"/>
  <c r="I6" i="4"/>
  <c r="J6" i="4"/>
  <c r="K6" i="4"/>
  <c r="L6" i="4"/>
  <c r="M6" i="4"/>
  <c r="G7" i="4"/>
  <c r="H7" i="4"/>
  <c r="I7" i="4"/>
  <c r="J7" i="4"/>
  <c r="K7" i="4"/>
  <c r="L7" i="4"/>
  <c r="M7" i="4"/>
  <c r="G8" i="4"/>
  <c r="H8" i="4"/>
  <c r="I8" i="4"/>
  <c r="J8" i="4"/>
  <c r="K8" i="4"/>
  <c r="L8" i="4"/>
  <c r="M8" i="4"/>
  <c r="G9" i="4"/>
  <c r="H9" i="4"/>
  <c r="I9" i="4"/>
  <c r="J9" i="4"/>
  <c r="K9" i="4"/>
  <c r="L9" i="4"/>
  <c r="M9" i="4"/>
  <c r="G10" i="4"/>
  <c r="H10" i="4"/>
  <c r="I10" i="4"/>
  <c r="J10" i="4"/>
  <c r="K10" i="4"/>
  <c r="L10" i="4"/>
  <c r="M10" i="4"/>
  <c r="G11" i="4"/>
  <c r="H11" i="4"/>
  <c r="I11" i="4"/>
  <c r="J11" i="4"/>
  <c r="K11" i="4"/>
  <c r="L11" i="4"/>
  <c r="M11" i="4"/>
  <c r="G12" i="4"/>
  <c r="H12" i="4"/>
  <c r="I12" i="4"/>
  <c r="J12" i="4"/>
  <c r="K12" i="4"/>
  <c r="L12" i="4"/>
  <c r="M12" i="4"/>
  <c r="G13" i="4"/>
  <c r="H13" i="4"/>
  <c r="I13" i="4"/>
  <c r="J13" i="4"/>
  <c r="K13" i="4"/>
  <c r="L13" i="4"/>
  <c r="M13" i="4"/>
  <c r="G14" i="4"/>
  <c r="H14" i="4"/>
  <c r="I14" i="4"/>
  <c r="J14" i="4"/>
  <c r="K14" i="4"/>
  <c r="L14" i="4"/>
  <c r="M14" i="4"/>
  <c r="G15" i="4"/>
  <c r="H15" i="4"/>
  <c r="I15" i="4"/>
  <c r="J15" i="4"/>
  <c r="K15" i="4"/>
  <c r="L15" i="4"/>
  <c r="M15" i="4"/>
  <c r="G16" i="4"/>
  <c r="H16" i="4"/>
  <c r="I16" i="4"/>
  <c r="J16" i="4"/>
  <c r="K16" i="4"/>
  <c r="L16" i="4"/>
  <c r="M16" i="4"/>
  <c r="G17" i="4"/>
  <c r="H17" i="4"/>
  <c r="I17" i="4"/>
  <c r="J17" i="4"/>
  <c r="K17" i="4"/>
  <c r="L17" i="4"/>
  <c r="M17" i="4"/>
  <c r="G18" i="4"/>
  <c r="H18" i="4"/>
  <c r="I18" i="4"/>
  <c r="J18" i="4"/>
  <c r="K18" i="4"/>
  <c r="L18" i="4"/>
  <c r="M18" i="4"/>
  <c r="G19" i="4"/>
  <c r="H19" i="4"/>
  <c r="I19" i="4"/>
  <c r="J19" i="4"/>
  <c r="K19" i="4"/>
  <c r="L19" i="4"/>
  <c r="M19" i="4"/>
  <c r="G20" i="4"/>
  <c r="H20" i="4"/>
  <c r="I20" i="4"/>
  <c r="J20" i="4"/>
  <c r="K20" i="4"/>
  <c r="L20" i="4"/>
  <c r="M20" i="4"/>
  <c r="G21" i="4"/>
  <c r="H21" i="4"/>
  <c r="I21" i="4"/>
  <c r="J21" i="4"/>
  <c r="K21" i="4"/>
  <c r="L21" i="4"/>
  <c r="M21" i="4"/>
  <c r="G22" i="4"/>
  <c r="H22" i="4"/>
  <c r="I22" i="4"/>
  <c r="J22" i="4"/>
  <c r="K22" i="4"/>
  <c r="L22" i="4"/>
  <c r="M22" i="4"/>
  <c r="G23" i="4"/>
  <c r="H23" i="4"/>
  <c r="I23" i="4"/>
  <c r="J23" i="4"/>
  <c r="K23" i="4"/>
  <c r="L23" i="4"/>
  <c r="M23" i="4"/>
  <c r="G24" i="4"/>
  <c r="H24" i="4"/>
  <c r="I24" i="4"/>
  <c r="J24" i="4"/>
  <c r="K24" i="4"/>
  <c r="L24" i="4"/>
  <c r="M24" i="4"/>
  <c r="G25" i="4"/>
  <c r="H25" i="4"/>
  <c r="I25" i="4"/>
  <c r="J25" i="4"/>
  <c r="K25" i="4"/>
  <c r="L25" i="4"/>
  <c r="M25" i="4"/>
  <c r="G26" i="4"/>
  <c r="H26" i="4"/>
  <c r="I26" i="4"/>
  <c r="J26" i="4"/>
  <c r="K26" i="4"/>
  <c r="L26" i="4"/>
  <c r="M26" i="4"/>
  <c r="G27" i="4"/>
  <c r="H27" i="4"/>
  <c r="I27" i="4"/>
  <c r="J27" i="4"/>
  <c r="K27" i="4"/>
  <c r="L27" i="4"/>
  <c r="M27" i="4"/>
  <c r="G28" i="4"/>
  <c r="H28" i="4"/>
  <c r="I28" i="4"/>
  <c r="J28" i="4"/>
  <c r="K28" i="4"/>
  <c r="L28" i="4"/>
  <c r="M28" i="4"/>
  <c r="G29" i="4"/>
  <c r="H29" i="4"/>
  <c r="I29" i="4"/>
  <c r="J29" i="4"/>
  <c r="K29" i="4"/>
  <c r="L29" i="4"/>
  <c r="M29" i="4"/>
  <c r="G30" i="4"/>
  <c r="H30" i="4"/>
  <c r="I30" i="4"/>
  <c r="J30" i="4"/>
  <c r="K30" i="4"/>
  <c r="L30" i="4"/>
  <c r="M30" i="4"/>
  <c r="G31" i="4"/>
  <c r="H31" i="4"/>
  <c r="I31" i="4"/>
  <c r="J31" i="4"/>
  <c r="K31" i="4"/>
  <c r="L31" i="4"/>
  <c r="M31" i="4"/>
  <c r="G32" i="4"/>
  <c r="H32" i="4"/>
  <c r="I32" i="4"/>
  <c r="J32" i="4"/>
  <c r="K32" i="4"/>
  <c r="L32" i="4"/>
  <c r="M32" i="4"/>
  <c r="G33" i="4"/>
  <c r="H33" i="4"/>
  <c r="I33" i="4"/>
  <c r="J33" i="4"/>
  <c r="K33" i="4"/>
  <c r="L33" i="4"/>
  <c r="M33" i="4"/>
  <c r="G34" i="4"/>
  <c r="H34" i="4"/>
  <c r="I34" i="4"/>
  <c r="J34" i="4"/>
  <c r="K34" i="4"/>
  <c r="L34" i="4"/>
  <c r="M34" i="4"/>
  <c r="G35" i="4"/>
  <c r="H35" i="4"/>
  <c r="I35" i="4"/>
  <c r="J35" i="4"/>
  <c r="K35" i="4"/>
  <c r="L35" i="4"/>
  <c r="M35" i="4"/>
  <c r="G36" i="4"/>
  <c r="H36" i="4"/>
  <c r="I36" i="4"/>
  <c r="J36" i="4"/>
  <c r="K36" i="4"/>
  <c r="L36" i="4"/>
  <c r="M36" i="4"/>
  <c r="G37" i="4"/>
  <c r="H37" i="4"/>
  <c r="I37" i="4"/>
  <c r="J37" i="4"/>
  <c r="K37" i="4"/>
  <c r="L37" i="4"/>
  <c r="M37" i="4"/>
  <c r="G38" i="4"/>
  <c r="H38" i="4"/>
  <c r="I38" i="4"/>
  <c r="J38" i="4"/>
  <c r="K38" i="4"/>
  <c r="L38" i="4"/>
  <c r="M38" i="4"/>
  <c r="G39" i="4"/>
  <c r="H39" i="4"/>
  <c r="I39" i="4"/>
  <c r="J39" i="4"/>
  <c r="K39" i="4"/>
  <c r="L39" i="4"/>
  <c r="M39" i="4"/>
  <c r="G40" i="4"/>
  <c r="H40" i="4"/>
  <c r="I40" i="4"/>
  <c r="J40" i="4"/>
  <c r="K40" i="4"/>
  <c r="L40" i="4"/>
  <c r="M40" i="4"/>
  <c r="G41" i="4"/>
  <c r="H41" i="4"/>
  <c r="I41" i="4"/>
  <c r="J41" i="4"/>
  <c r="K41" i="4"/>
  <c r="L41" i="4"/>
  <c r="M41" i="4"/>
  <c r="G42" i="4"/>
  <c r="H42" i="4"/>
  <c r="I42" i="4"/>
  <c r="J42" i="4"/>
  <c r="K42" i="4"/>
  <c r="L42" i="4"/>
  <c r="M42" i="4"/>
  <c r="G43" i="4"/>
  <c r="H43" i="4"/>
  <c r="I43" i="4"/>
  <c r="J43" i="4"/>
  <c r="K43" i="4"/>
  <c r="L43" i="4"/>
  <c r="M43" i="4"/>
  <c r="G44" i="4"/>
  <c r="H44" i="4"/>
  <c r="I44" i="4"/>
  <c r="J44" i="4"/>
  <c r="K44" i="4"/>
  <c r="L44" i="4"/>
  <c r="M44" i="4"/>
  <c r="G45" i="4"/>
  <c r="H45" i="4"/>
  <c r="I45" i="4"/>
  <c r="J45" i="4"/>
  <c r="K45" i="4"/>
  <c r="L45" i="4"/>
  <c r="M45" i="4"/>
  <c r="G46" i="4"/>
  <c r="H46" i="4"/>
  <c r="I46" i="4"/>
  <c r="J46" i="4"/>
  <c r="K46" i="4"/>
  <c r="L46" i="4"/>
  <c r="M46" i="4"/>
  <c r="G47" i="4"/>
  <c r="H47" i="4"/>
  <c r="I47" i="4"/>
  <c r="J47" i="4"/>
  <c r="K47" i="4"/>
  <c r="L47" i="4"/>
  <c r="M47" i="4"/>
  <c r="G48" i="4"/>
  <c r="H48" i="4"/>
  <c r="I48" i="4"/>
  <c r="J48" i="4"/>
  <c r="K48" i="4"/>
  <c r="L48" i="4"/>
  <c r="M48" i="4"/>
  <c r="G49" i="4"/>
  <c r="H49" i="4"/>
  <c r="I49" i="4"/>
  <c r="J49" i="4"/>
  <c r="K49" i="4"/>
  <c r="L49" i="4"/>
  <c r="M49" i="4"/>
  <c r="G50" i="4"/>
  <c r="H50" i="4"/>
  <c r="I50" i="4"/>
  <c r="J50" i="4"/>
  <c r="K50" i="4"/>
  <c r="L50" i="4"/>
  <c r="M50" i="4"/>
  <c r="G51" i="4"/>
  <c r="H51" i="4"/>
  <c r="I51" i="4"/>
  <c r="J51" i="4"/>
  <c r="K51" i="4"/>
  <c r="L51" i="4"/>
  <c r="M51" i="4"/>
  <c r="G52" i="4"/>
  <c r="H52" i="4"/>
  <c r="I52" i="4"/>
  <c r="J52" i="4"/>
  <c r="K52" i="4"/>
  <c r="L52" i="4"/>
  <c r="M52" i="4"/>
  <c r="G53" i="4"/>
  <c r="H53" i="4"/>
  <c r="I53" i="4"/>
  <c r="J53" i="4"/>
  <c r="K53" i="4"/>
  <c r="L53" i="4"/>
  <c r="M53" i="4"/>
  <c r="G54" i="4"/>
  <c r="H54" i="4"/>
  <c r="I54" i="4"/>
  <c r="J54" i="4"/>
  <c r="K54" i="4"/>
  <c r="L54" i="4"/>
  <c r="M54" i="4"/>
  <c r="G55" i="4"/>
  <c r="H55" i="4"/>
  <c r="I55" i="4"/>
  <c r="J55" i="4"/>
  <c r="K55" i="4"/>
  <c r="L55" i="4"/>
  <c r="M55" i="4"/>
  <c r="G56" i="4"/>
  <c r="H56" i="4"/>
  <c r="I56" i="4"/>
  <c r="J56" i="4"/>
  <c r="K56" i="4"/>
  <c r="L56" i="4"/>
  <c r="M56" i="4"/>
  <c r="G57" i="4"/>
  <c r="H57" i="4"/>
  <c r="I57" i="4"/>
  <c r="J57" i="4"/>
  <c r="K57" i="4"/>
  <c r="L57" i="4"/>
  <c r="M57" i="4"/>
  <c r="G58" i="4"/>
  <c r="H58" i="4"/>
  <c r="I58" i="4"/>
  <c r="J58" i="4"/>
  <c r="K58" i="4"/>
  <c r="L58" i="4"/>
  <c r="M5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tc={761B3E38-7E17-40FF-9E6E-31A49D2400C4}</author>
  </authors>
  <commentList>
    <comment ref="C53" authorId="0" shapeId="0" xr:uid="{761B3E38-7E17-40FF-9E6E-31A49D2400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Indiqué Open 3 sur inscription, un doute 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tc={757F27F1-94F1-4754-827F-07D3F8FB6303}</author>
  </authors>
  <commentList>
    <comment ref="C53" authorId="0" shapeId="0" xr:uid="{757F27F1-94F1-4754-827F-07D3F8FB630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Indiqué Open 3 sur inscription, un doute ?</t>
      </text>
    </comment>
  </commentList>
</comments>
</file>

<file path=xl/sharedStrings.xml><?xml version="1.0" encoding="utf-8"?>
<sst xmlns="http://schemas.openxmlformats.org/spreadsheetml/2006/main" count="1076" uniqueCount="184">
  <si>
    <t>Nom</t>
  </si>
  <si>
    <t>Catégorie</t>
  </si>
  <si>
    <t>Classement scratch</t>
  </si>
  <si>
    <t>Rang catégorie</t>
  </si>
  <si>
    <t>Écart avec précédent</t>
  </si>
  <si>
    <t>N° Dossard</t>
  </si>
  <si>
    <t>NOM/PRENOM</t>
  </si>
  <si>
    <t>Heure arrivé
 CLM</t>
  </si>
  <si>
    <t>Heure départ
CLM</t>
  </si>
  <si>
    <t>Temps Grimpée</t>
  </si>
  <si>
    <t>Temps CLM</t>
  </si>
  <si>
    <t>CHEVIGNON MATHEO</t>
  </si>
  <si>
    <t>MORACCHIOLI NOE</t>
  </si>
  <si>
    <t>LAPIERRE NOE</t>
  </si>
  <si>
    <t>PELLERIN XAVIER</t>
  </si>
  <si>
    <t>BUSATO AMAURY</t>
  </si>
  <si>
    <t>DAVID YANN</t>
  </si>
  <si>
    <t>MERLO RAPHAEL</t>
  </si>
  <si>
    <t>DORCE MICHEL STEVENSON</t>
  </si>
  <si>
    <t>KAIFFER NICOLAS</t>
  </si>
  <si>
    <t>RAMBAUD JULIEN</t>
  </si>
  <si>
    <t>TAMISIER VINCENT</t>
  </si>
  <si>
    <t>THEVENET PIERRICK</t>
  </si>
  <si>
    <t>TRAMAGLIA CEDRIC</t>
  </si>
  <si>
    <t>UHRY GILLES</t>
  </si>
  <si>
    <t>ALESSANDRI DAMIEN</t>
  </si>
  <si>
    <t>HURSON NICOLAS</t>
  </si>
  <si>
    <t>CHAMBAZ VALENTIN</t>
  </si>
  <si>
    <t>CORMONS PHILIPPE</t>
  </si>
  <si>
    <t>BARRETO FRANCIS</t>
  </si>
  <si>
    <t>GAILLARD JULIEN</t>
  </si>
  <si>
    <t>PERONNIER EVAN</t>
  </si>
  <si>
    <t>15/16</t>
  </si>
  <si>
    <t>MICAS TITOUAN</t>
  </si>
  <si>
    <t>MORACCHIOLI THOMAS</t>
  </si>
  <si>
    <t>SANTALUCIA UGO</t>
  </si>
  <si>
    <t>BONNEFILLE ROMAIN</t>
  </si>
  <si>
    <t>NL</t>
  </si>
  <si>
    <t>Temps Départ
Grimpée</t>
  </si>
  <si>
    <t>Heure départ grimpée</t>
  </si>
  <si>
    <t>taper "x"à l'arrivée du coureur</t>
  </si>
  <si>
    <t>SAS de départ</t>
  </si>
  <si>
    <t>STRAPPAZON ANTONIN</t>
  </si>
  <si>
    <t>CHAMBAZ ENZO</t>
  </si>
  <si>
    <t>13/14</t>
  </si>
  <si>
    <t>GRITTI YANNIS</t>
  </si>
  <si>
    <t>MORBO CLEMENT</t>
  </si>
  <si>
    <t>GUILLERMET CLEMENT</t>
  </si>
  <si>
    <t>ROUSSEL EMERY</t>
  </si>
  <si>
    <t>TACHOT LAURENT</t>
  </si>
  <si>
    <t>Club</t>
  </si>
  <si>
    <t>T3M</t>
  </si>
  <si>
    <t>SAUVAGE CYRIL</t>
  </si>
  <si>
    <t>HERTAULT AGNES</t>
  </si>
  <si>
    <t>BASSETTO LOUKA</t>
  </si>
  <si>
    <t>BESCOND DIDIER</t>
  </si>
  <si>
    <t>JCC</t>
  </si>
  <si>
    <t>CHAUMONT COLIN</t>
  </si>
  <si>
    <t>CHEMINOT PHILIBERT</t>
  </si>
  <si>
    <t>D'ASCOLI JEAN-PIERRE</t>
  </si>
  <si>
    <t>CCG</t>
  </si>
  <si>
    <t>DEBUCK LAURENT</t>
  </si>
  <si>
    <t>UC PONTCHARRA</t>
  </si>
  <si>
    <t>GERRAND ANTONY</t>
  </si>
  <si>
    <t>UC VOIRON</t>
  </si>
  <si>
    <t>TOFFANIN ALEXIS</t>
  </si>
  <si>
    <t>GMC 38</t>
  </si>
  <si>
    <t>VIAL WILLY</t>
  </si>
  <si>
    <t>FONTANIL</t>
  </si>
  <si>
    <t>AGUD THIERRY</t>
  </si>
  <si>
    <t>ALPIN'S WHEEL</t>
  </si>
  <si>
    <t>LEONE MATTHIEU</t>
  </si>
  <si>
    <t>MELEZE FREDERIC</t>
  </si>
  <si>
    <t>SUD GRESIVAUDAN</t>
  </si>
  <si>
    <t>MELEZE JEAN-PHILIPPE</t>
  </si>
  <si>
    <t>PITIOT TAO</t>
  </si>
  <si>
    <t>SGCC</t>
  </si>
  <si>
    <t>FFTRI</t>
  </si>
  <si>
    <t>FONTANIL TRI</t>
  </si>
  <si>
    <t>?</t>
  </si>
  <si>
    <t>LA TRONCHE VELO</t>
  </si>
  <si>
    <t>C2S</t>
  </si>
  <si>
    <t>DOHEN CHRISTOPHE</t>
  </si>
  <si>
    <t>PAUTASSO ALEXIS</t>
  </si>
  <si>
    <t>FRITSCH NICOLAS</t>
  </si>
  <si>
    <t>DESTIENNE VINCENT</t>
  </si>
  <si>
    <t>CHAMOT BERNARD</t>
  </si>
  <si>
    <t>PIU REMI</t>
  </si>
  <si>
    <t>BROCHET MAXIME</t>
  </si>
  <si>
    <t>BOSQUELLE TAO</t>
  </si>
  <si>
    <t>TTT</t>
  </si>
  <si>
    <t>ROUSSEL JEROME</t>
  </si>
  <si>
    <t>LEBEURRIER-SOUZY BASIL</t>
  </si>
  <si>
    <t>EMBRUN TRI</t>
  </si>
  <si>
    <t>GALLEGO MICKAEL</t>
  </si>
  <si>
    <t>MVTT</t>
  </si>
  <si>
    <t>GALLEGO DYLAN</t>
  </si>
  <si>
    <t>Ligne de départ</t>
  </si>
  <si>
    <t>Heure arrivée
Grimpée</t>
  </si>
  <si>
    <t>RENAUT LUCIEN</t>
  </si>
  <si>
    <t>RENAUT JULES</t>
  </si>
  <si>
    <t>LONGO JANNIE</t>
  </si>
  <si>
    <t xml:space="preserve">SAINT </t>
  </si>
  <si>
    <t>NOTIN DAVID</t>
  </si>
  <si>
    <t>NOTON DAVID</t>
  </si>
  <si>
    <t>N°Dossard</t>
  </si>
  <si>
    <t xml:space="preserve">Retrait
Dossard </t>
  </si>
  <si>
    <t>SAS 1</t>
  </si>
  <si>
    <t>SAS 2</t>
  </si>
  <si>
    <t>SAS 3</t>
  </si>
  <si>
    <t>SAS 4</t>
  </si>
  <si>
    <t>Lignes</t>
  </si>
  <si>
    <t>N°Dossard /
Temps de départ</t>
  </si>
  <si>
    <t>x</t>
  </si>
  <si>
    <t>BSIC</t>
  </si>
  <si>
    <t>SAINT NARY</t>
  </si>
  <si>
    <t>LONGO JEANNIE</t>
  </si>
  <si>
    <r>
      <rPr>
        <b/>
        <sz val="11"/>
        <color theme="1"/>
        <rFont val="Calibri"/>
        <family val="2"/>
        <scheme val="minor"/>
      </rPr>
      <t>67</t>
    </r>
    <r>
      <rPr>
        <sz val="11"/>
        <color theme="1"/>
        <rFont val="Calibri"/>
        <family val="2"/>
        <scheme val="minor"/>
      </rPr>
      <t xml:space="preserve">
00:00</t>
    </r>
  </si>
  <si>
    <t>65
00:50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</si>
  <si>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00:52</t>
    </r>
  </si>
  <si>
    <r>
      <rPr>
        <b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
09:15</t>
    </r>
  </si>
  <si>
    <r>
      <rPr>
        <b/>
        <sz val="11"/>
        <color theme="1"/>
        <rFont val="Calibri"/>
        <family val="2"/>
        <scheme val="minor"/>
      </rPr>
      <t>69</t>
    </r>
    <r>
      <rPr>
        <sz val="11"/>
        <color theme="1"/>
        <rFont val="Calibri"/>
        <family val="2"/>
        <scheme val="minor"/>
      </rPr>
      <t xml:space="preserve">
00:29</t>
    </r>
  </si>
  <si>
    <r>
      <rPr>
        <b/>
        <sz val="11"/>
        <color theme="1"/>
        <rFont val="Calibri"/>
        <family val="2"/>
        <scheme val="minor"/>
      </rPr>
      <t>68</t>
    </r>
    <r>
      <rPr>
        <sz val="11"/>
        <color theme="1"/>
        <rFont val="Calibri"/>
        <family val="2"/>
        <scheme val="minor"/>
      </rPr>
      <t xml:space="preserve">
01:07</t>
    </r>
  </si>
  <si>
    <r>
      <rPr>
        <b/>
        <sz val="11"/>
        <color theme="1"/>
        <rFont val="Calibri"/>
        <family val="2"/>
        <scheme val="minor"/>
      </rPr>
      <t>59</t>
    </r>
    <r>
      <rPr>
        <sz val="11"/>
        <color theme="1"/>
        <rFont val="Calibri"/>
        <family val="2"/>
        <scheme val="minor"/>
      </rPr>
      <t xml:space="preserve">
01:20</t>
    </r>
  </si>
  <si>
    <r>
      <rPr>
        <b/>
        <sz val="11"/>
        <color theme="1"/>
        <rFont val="Calibri"/>
        <family val="2"/>
        <scheme val="minor"/>
      </rPr>
      <t>64</t>
    </r>
    <r>
      <rPr>
        <sz val="11"/>
        <color theme="1"/>
        <rFont val="Calibri"/>
        <family val="2"/>
        <scheme val="minor"/>
      </rPr>
      <t xml:space="preserve">
01:22</t>
    </r>
  </si>
  <si>
    <r>
      <rPr>
        <b/>
        <sz val="11"/>
        <color theme="1"/>
        <rFont val="Calibri"/>
        <family val="2"/>
        <scheme val="minor"/>
      </rPr>
      <t>63</t>
    </r>
    <r>
      <rPr>
        <sz val="11"/>
        <color theme="1"/>
        <rFont val="Calibri"/>
        <family val="2"/>
        <scheme val="minor"/>
      </rPr>
      <t xml:space="preserve">
01:39</t>
    </r>
  </si>
  <si>
    <r>
      <rPr>
        <b/>
        <sz val="11"/>
        <color theme="1"/>
        <rFont val="Calibri"/>
        <family val="2"/>
        <scheme val="minor"/>
      </rPr>
      <t>82</t>
    </r>
    <r>
      <rPr>
        <sz val="11"/>
        <color theme="1"/>
        <rFont val="Calibri"/>
        <family val="2"/>
        <scheme val="minor"/>
      </rPr>
      <t xml:space="preserve">
01:40</t>
    </r>
  </si>
  <si>
    <r>
      <rPr>
        <b/>
        <sz val="11"/>
        <color theme="1"/>
        <rFont val="Calibri"/>
        <family val="2"/>
        <scheme val="minor"/>
      </rPr>
      <t>78</t>
    </r>
    <r>
      <rPr>
        <sz val="11"/>
        <color theme="1"/>
        <rFont val="Calibri"/>
        <family val="2"/>
        <scheme val="minor"/>
      </rPr>
      <t xml:space="preserve">
01:43</t>
    </r>
  </si>
  <si>
    <r>
      <rPr>
        <b/>
        <sz val="11"/>
        <color theme="1"/>
        <rFont val="Calibri"/>
        <family val="2"/>
        <scheme val="minor"/>
      </rPr>
      <t>57</t>
    </r>
    <r>
      <rPr>
        <sz val="11"/>
        <color theme="1"/>
        <rFont val="Calibri"/>
        <family val="2"/>
        <scheme val="minor"/>
      </rPr>
      <t xml:space="preserve">
01:50</t>
    </r>
  </si>
  <si>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
01:54</t>
    </r>
  </si>
  <si>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
01:55</t>
    </r>
  </si>
  <si>
    <r>
      <rPr>
        <b/>
        <sz val="11"/>
        <color theme="1"/>
        <rFont val="Calibri"/>
        <family val="2"/>
        <scheme val="minor"/>
      </rPr>
      <t>51</t>
    </r>
    <r>
      <rPr>
        <sz val="11"/>
        <color theme="1"/>
        <rFont val="Calibri"/>
        <family val="2"/>
        <scheme val="minor"/>
      </rPr>
      <t xml:space="preserve">
01:56</t>
    </r>
  </si>
  <si>
    <r>
      <rPr>
        <b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 xml:space="preserve">
01:57</t>
    </r>
  </si>
  <si>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
01:57</t>
    </r>
  </si>
  <si>
    <r>
      <rPr>
        <b/>
        <sz val="11"/>
        <color theme="1"/>
        <rFont val="Calibri"/>
        <family val="2"/>
        <scheme val="minor"/>
      </rPr>
      <t>58</t>
    </r>
    <r>
      <rPr>
        <sz val="11"/>
        <color theme="1"/>
        <rFont val="Calibri"/>
        <family val="2"/>
        <scheme val="minor"/>
      </rPr>
      <t xml:space="preserve">
01:58</t>
    </r>
  </si>
  <si>
    <r>
      <rPr>
        <b/>
        <sz val="11"/>
        <color theme="1"/>
        <rFont val="Calibri"/>
        <family val="2"/>
        <scheme val="minor"/>
      </rPr>
      <t>56</t>
    </r>
    <r>
      <rPr>
        <sz val="11"/>
        <color theme="1"/>
        <rFont val="Calibri"/>
        <family val="2"/>
        <scheme val="minor"/>
      </rPr>
      <t xml:space="preserve">
01:59</t>
    </r>
  </si>
  <si>
    <r>
      <rPr>
        <b/>
        <sz val="11"/>
        <color theme="1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 xml:space="preserve">
02:00</t>
    </r>
  </si>
  <si>
    <r>
      <rPr>
        <b/>
        <sz val="11"/>
        <color theme="1"/>
        <rFont val="Calibri"/>
        <family val="2"/>
        <scheme val="minor"/>
      </rPr>
      <t>55</t>
    </r>
    <r>
      <rPr>
        <sz val="11"/>
        <color theme="1"/>
        <rFont val="Calibri"/>
        <family val="2"/>
        <scheme val="minor"/>
      </rPr>
      <t xml:space="preserve">
02:06</t>
    </r>
  </si>
  <si>
    <r>
      <rPr>
        <b/>
        <sz val="11"/>
        <color theme="1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 xml:space="preserve">
02:09</t>
    </r>
  </si>
  <si>
    <r>
      <rPr>
        <b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
02:13</t>
    </r>
  </si>
  <si>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
02:15</t>
    </r>
  </si>
  <si>
    <r>
      <rPr>
        <b/>
        <sz val="11"/>
        <color theme="1"/>
        <rFont val="Calibri"/>
        <family val="2"/>
        <scheme val="minor"/>
      </rPr>
      <t>81</t>
    </r>
    <r>
      <rPr>
        <sz val="11"/>
        <color theme="1"/>
        <rFont val="Calibri"/>
        <family val="2"/>
        <scheme val="minor"/>
      </rPr>
      <t xml:space="preserve">
02:19</t>
    </r>
  </si>
  <si>
    <r>
      <rPr>
        <b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 xml:space="preserve">
02:20</t>
    </r>
  </si>
  <si>
    <r>
      <rPr>
        <b/>
        <sz val="11"/>
        <color theme="1"/>
        <rFont val="Calibri"/>
        <family val="2"/>
        <scheme val="minor"/>
      </rPr>
      <t>44</t>
    </r>
    <r>
      <rPr>
        <sz val="11"/>
        <color theme="1"/>
        <rFont val="Calibri"/>
        <family val="2"/>
        <scheme val="minor"/>
      </rPr>
      <t xml:space="preserve">
02:30</t>
    </r>
  </si>
  <si>
    <r>
      <rPr>
        <b/>
        <sz val="11"/>
        <color theme="1"/>
        <rFont val="Calibri"/>
        <family val="2"/>
        <scheme val="minor"/>
      </rPr>
      <t>79</t>
    </r>
    <r>
      <rPr>
        <sz val="11"/>
        <color theme="1"/>
        <rFont val="Calibri"/>
        <family val="2"/>
        <scheme val="minor"/>
      </rPr>
      <t xml:space="preserve">
02:31</t>
    </r>
  </si>
  <si>
    <r>
      <rPr>
        <b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
02:31</t>
    </r>
  </si>
  <si>
    <r>
      <rPr>
        <b/>
        <sz val="11"/>
        <color theme="1"/>
        <rFont val="Calibri"/>
        <family val="2"/>
        <scheme val="minor"/>
      </rPr>
      <t>47</t>
    </r>
    <r>
      <rPr>
        <sz val="11"/>
        <color theme="1"/>
        <rFont val="Calibri"/>
        <family val="2"/>
        <scheme val="minor"/>
      </rPr>
      <t xml:space="preserve">
02:35</t>
    </r>
  </si>
  <si>
    <r>
      <rPr>
        <b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 xml:space="preserve">
02:43</t>
    </r>
  </si>
  <si>
    <r>
      <rPr>
        <b/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 xml:space="preserve">
02:47</t>
    </r>
  </si>
  <si>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
02:48</t>
    </r>
  </si>
  <si>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
02:49</t>
    </r>
  </si>
  <si>
    <r>
      <rPr>
        <b/>
        <sz val="11"/>
        <color theme="1"/>
        <rFont val="Calibri"/>
        <family val="2"/>
        <scheme val="minor"/>
      </rPr>
      <t>76</t>
    </r>
    <r>
      <rPr>
        <sz val="11"/>
        <color theme="1"/>
        <rFont val="Calibri"/>
        <family val="2"/>
        <scheme val="minor"/>
      </rPr>
      <t xml:space="preserve">
05:51</t>
    </r>
  </si>
  <si>
    <r>
      <rPr>
        <b/>
        <sz val="11"/>
        <color theme="1"/>
        <rFont val="Calibri"/>
        <family val="2"/>
        <scheme val="minor"/>
      </rPr>
      <t>37</t>
    </r>
    <r>
      <rPr>
        <sz val="11"/>
        <color theme="1"/>
        <rFont val="Calibri"/>
        <family val="2"/>
        <scheme val="minor"/>
      </rPr>
      <t xml:space="preserve">
02:52</t>
    </r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</si>
  <si>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
02:53</t>
    </r>
  </si>
  <si>
    <r>
      <rPr>
        <b/>
        <sz val="11"/>
        <color theme="1"/>
        <rFont val="Calibri"/>
        <family val="2"/>
        <scheme val="minor"/>
      </rPr>
      <t>73</t>
    </r>
    <r>
      <rPr>
        <sz val="11"/>
        <color theme="1"/>
        <rFont val="Calibri"/>
        <family val="2"/>
        <scheme val="minor"/>
      </rPr>
      <t xml:space="preserve">
02:54</t>
    </r>
  </si>
  <si>
    <r>
      <rPr>
        <b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
02:56</t>
    </r>
  </si>
  <si>
    <r>
      <rPr>
        <b/>
        <sz val="11"/>
        <color theme="1"/>
        <rFont val="Calibri"/>
        <family val="2"/>
        <scheme val="minor"/>
      </rPr>
      <t>39</t>
    </r>
    <r>
      <rPr>
        <sz val="11"/>
        <color theme="1"/>
        <rFont val="Calibri"/>
        <family val="2"/>
        <scheme val="minor"/>
      </rPr>
      <t xml:space="preserve">
02:58</t>
    </r>
  </si>
  <si>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
03:14</t>
    </r>
  </si>
  <si>
    <r>
      <rPr>
        <b/>
        <sz val="11"/>
        <color theme="1"/>
        <rFont val="Calibri"/>
        <family val="2"/>
        <scheme val="minor"/>
      </rPr>
      <t>43</t>
    </r>
    <r>
      <rPr>
        <sz val="11"/>
        <color theme="1"/>
        <rFont val="Calibri"/>
        <family val="2"/>
        <scheme val="minor"/>
      </rPr>
      <t xml:space="preserve">
03:15</t>
    </r>
  </si>
  <si>
    <r>
      <rPr>
        <b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 xml:space="preserve">
03:15</t>
    </r>
  </si>
  <si>
    <r>
      <rPr>
        <b/>
        <sz val="11"/>
        <color theme="1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 xml:space="preserve">
03:16</t>
    </r>
  </si>
  <si>
    <r>
      <rPr>
        <b/>
        <sz val="11"/>
        <color theme="1"/>
        <rFont val="Calibri"/>
        <family val="2"/>
        <scheme val="minor"/>
      </rPr>
      <t>46</t>
    </r>
    <r>
      <rPr>
        <sz val="11"/>
        <color theme="1"/>
        <rFont val="Calibri"/>
        <family val="2"/>
        <scheme val="minor"/>
      </rPr>
      <t xml:space="preserve">
03:24</t>
    </r>
  </si>
  <si>
    <r>
      <rPr>
        <b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 xml:space="preserve">
03:30</t>
    </r>
  </si>
  <si>
    <r>
      <rPr>
        <b/>
        <sz val="11"/>
        <color theme="1"/>
        <rFont val="Calibri"/>
        <family val="2"/>
        <scheme val="minor"/>
      </rPr>
      <t>52</t>
    </r>
    <r>
      <rPr>
        <sz val="11"/>
        <color theme="1"/>
        <rFont val="Calibri"/>
        <family val="2"/>
        <scheme val="minor"/>
      </rPr>
      <t xml:space="preserve">
03:32</t>
    </r>
  </si>
  <si>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
03:39</t>
    </r>
  </si>
  <si>
    <r>
      <rPr>
        <b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 xml:space="preserve">
03:41</t>
    </r>
  </si>
  <si>
    <r>
      <rPr>
        <b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 xml:space="preserve">
03:45</t>
    </r>
  </si>
  <si>
    <r>
      <rPr>
        <b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
04:08</t>
    </r>
  </si>
  <si>
    <r>
      <rPr>
        <b/>
        <sz val="11"/>
        <color theme="1"/>
        <rFont val="Calibri"/>
        <family val="2"/>
        <scheme val="minor"/>
      </rPr>
      <t>77</t>
    </r>
    <r>
      <rPr>
        <sz val="11"/>
        <color theme="1"/>
        <rFont val="Calibri"/>
        <family val="2"/>
        <scheme val="minor"/>
      </rPr>
      <t xml:space="preserve">
04:08</t>
    </r>
  </si>
  <si>
    <r>
      <rPr>
        <b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 xml:space="preserve">
04:14</t>
    </r>
  </si>
  <si>
    <r>
      <rPr>
        <b/>
        <sz val="11"/>
        <color theme="1"/>
        <rFont val="Calibri"/>
        <family val="2"/>
        <scheme val="minor"/>
      </rPr>
      <t>83</t>
    </r>
    <r>
      <rPr>
        <sz val="11"/>
        <color theme="1"/>
        <rFont val="Calibri"/>
        <family val="2"/>
        <scheme val="minor"/>
      </rPr>
      <t xml:space="preserve">
04:24</t>
    </r>
  </si>
  <si>
    <r>
      <rPr>
        <b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 xml:space="preserve">
005:15</t>
    </r>
  </si>
  <si>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
05:23</t>
    </r>
  </si>
  <si>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
07:18</t>
    </r>
  </si>
  <si>
    <t>Classement</t>
  </si>
  <si>
    <t>N° de dossard</t>
  </si>
  <si>
    <t>Classement
scratch CLM</t>
  </si>
  <si>
    <t>Numéro de dossard</t>
  </si>
  <si>
    <t>n° de dossard</t>
  </si>
  <si>
    <t>DNS</t>
  </si>
  <si>
    <t>DNF</t>
  </si>
  <si>
    <t>ILNICKA OCEAN</t>
  </si>
  <si>
    <t>FEM</t>
  </si>
  <si>
    <t>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</si>
</sst>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21" fontId="0" fillId="5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21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center"/>
    </xf>
    <xf numFmtId="21" fontId="0" fillId="0" borderId="0" xfId="0" applyNumberFormat="1" applyBorder="1" applyAlignment="1">
      <alignment horizontal="center" vertical="center"/>
    </xf>
    <xf numFmtId="0" fontId="0" fillId="0" borderId="0" xfId="0" applyBorder="1"/>
    <xf numFmtId="21" fontId="4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cci, Gregory" id="{5D001DEE-B22A-4481-824E-84EB1682A016}" userId="S::Gregory.Bucci@araymond.com::68a965ab-8e01-4af0-978a-ab8e5431e8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" dT="2026-06-17T14:24:17.63" personId="{5D001DEE-B22A-4481-824E-84EB1682A016}" id="{761B3E38-7E17-40FF-9E6E-31A49D2400C4}">
    <text>Indiqué Open 3 sur inscription, un doute 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3" dT="2026-06-17T14:24:17.63" personId="{5D001DEE-B22A-4481-824E-84EB1682A016}" id="{757F27F1-94F1-4754-827F-07D3F8FB6303}">
    <text>Indiqué Open 3 sur inscription, un doute 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D71F-22FA-4CA4-B69C-8D4970B33EB1}">
  <dimension ref="A1:I81"/>
  <sheetViews>
    <sheetView tabSelected="1" workbookViewId="0">
      <selection activeCell="J55" sqref="J55"/>
    </sheetView>
  </sheetViews>
  <sheetFormatPr baseColWidth="10" defaultRowHeight="14.4" x14ac:dyDescent="0.3"/>
  <cols>
    <col min="1" max="1" width="11.21875" bestFit="1" customWidth="1"/>
    <col min="2" max="2" width="10.109375" bestFit="1" customWidth="1"/>
    <col min="3" max="3" width="24.21875" bestFit="1" customWidth="1"/>
    <col min="4" max="4" width="9" bestFit="1" customWidth="1"/>
    <col min="5" max="5" width="17" bestFit="1" customWidth="1"/>
    <col min="6" max="6" width="8.109375" hidden="1" customWidth="1"/>
    <col min="7" max="8" width="0" hidden="1" customWidth="1"/>
  </cols>
  <sheetData>
    <row r="1" spans="1:9" ht="43.2" x14ac:dyDescent="0.3">
      <c r="A1" s="15" t="s">
        <v>176</v>
      </c>
      <c r="B1" s="14" t="s">
        <v>5</v>
      </c>
      <c r="C1" s="14" t="s">
        <v>0</v>
      </c>
      <c r="D1" s="14" t="s">
        <v>1</v>
      </c>
      <c r="E1" s="14" t="s">
        <v>50</v>
      </c>
      <c r="F1" s="15" t="s">
        <v>8</v>
      </c>
      <c r="G1" s="15" t="s">
        <v>40</v>
      </c>
      <c r="H1" s="15" t="s">
        <v>7</v>
      </c>
      <c r="I1" s="14" t="s">
        <v>10</v>
      </c>
    </row>
    <row r="2" spans="1:9" x14ac:dyDescent="0.3">
      <c r="A2" s="8">
        <f ca="1">IF(I2="","",RANK(I2,I$2:I$171,1))</f>
        <v>1</v>
      </c>
      <c r="B2" s="10">
        <v>67</v>
      </c>
      <c r="C2" s="12" t="s">
        <v>49</v>
      </c>
      <c r="D2" s="8">
        <v>1</v>
      </c>
      <c r="E2" s="8" t="s">
        <v>81</v>
      </c>
      <c r="F2" s="9">
        <v>0.45972222222222198</v>
      </c>
      <c r="G2" s="9" t="s">
        <v>113</v>
      </c>
      <c r="H2" s="9">
        <f t="shared" ref="H2:H65" ca="1" si="0">IF(G2&lt;&gt;"",IF(H2="",NOW(),H2),"")</f>
        <v>46194.470005092589</v>
      </c>
      <c r="I2" s="9">
        <f t="shared" ref="I2:I65" ca="1" si="1">IF(H2="","",H2-F2)</f>
        <v>46194.010282870368</v>
      </c>
    </row>
    <row r="3" spans="1:9" x14ac:dyDescent="0.3">
      <c r="A3" s="8">
        <f ca="1">IF(I3="","",RANK(I3,I$2:I$171,1))</f>
        <v>2</v>
      </c>
      <c r="B3" s="10">
        <v>69</v>
      </c>
      <c r="C3" s="12" t="s">
        <v>99</v>
      </c>
      <c r="D3" s="8">
        <v>1</v>
      </c>
      <c r="E3" s="8" t="s">
        <v>81</v>
      </c>
      <c r="F3" s="9">
        <v>0.46111111111111103</v>
      </c>
      <c r="G3" s="9" t="s">
        <v>113</v>
      </c>
      <c r="H3" s="9">
        <f t="shared" ca="1" si="0"/>
        <v>46194.471727314813</v>
      </c>
      <c r="I3" s="9">
        <f t="shared" ca="1" si="1"/>
        <v>46194.010616203705</v>
      </c>
    </row>
    <row r="4" spans="1:9" x14ac:dyDescent="0.3">
      <c r="A4" s="8">
        <f ca="1">IF(I4="","",RANK(I4,I$2:I$171,1))</f>
        <v>3</v>
      </c>
      <c r="B4" s="10">
        <v>65</v>
      </c>
      <c r="C4" s="12" t="s">
        <v>14</v>
      </c>
      <c r="D4" s="8">
        <v>1</v>
      </c>
      <c r="E4" s="8" t="s">
        <v>70</v>
      </c>
      <c r="F4" s="9">
        <v>0.45833333333333331</v>
      </c>
      <c r="G4" s="9" t="s">
        <v>113</v>
      </c>
      <c r="H4" s="9">
        <f t="shared" ca="1" si="0"/>
        <v>46194.469195486112</v>
      </c>
      <c r="I4" s="9">
        <f t="shared" ca="1" si="1"/>
        <v>46194.010862152776</v>
      </c>
    </row>
    <row r="5" spans="1:9" x14ac:dyDescent="0.3">
      <c r="A5" s="8">
        <f ca="1">IF(I5="","",RANK(I5,I$2:I$171,1))</f>
        <v>4</v>
      </c>
      <c r="B5" s="10">
        <v>1</v>
      </c>
      <c r="C5" s="12" t="s">
        <v>34</v>
      </c>
      <c r="D5" s="8">
        <v>2</v>
      </c>
      <c r="E5" s="8" t="s">
        <v>51</v>
      </c>
      <c r="F5" s="9">
        <v>0.41666666666666669</v>
      </c>
      <c r="G5" s="9" t="s">
        <v>113</v>
      </c>
      <c r="H5" s="9">
        <f t="shared" ca="1" si="0"/>
        <v>46194.427546643521</v>
      </c>
      <c r="I5" s="9">
        <f t="shared" ca="1" si="1"/>
        <v>46194.010879976857</v>
      </c>
    </row>
    <row r="6" spans="1:9" x14ac:dyDescent="0.3">
      <c r="A6" s="8">
        <f ca="1">IF(I6="","",RANK(I6,I$2:I$171,1))</f>
        <v>5</v>
      </c>
      <c r="B6" s="10">
        <v>68</v>
      </c>
      <c r="C6" s="12" t="s">
        <v>84</v>
      </c>
      <c r="D6" s="8">
        <v>1</v>
      </c>
      <c r="E6" s="8" t="s">
        <v>64</v>
      </c>
      <c r="F6" s="9">
        <v>0.46041666666666597</v>
      </c>
      <c r="G6" s="9" t="s">
        <v>113</v>
      </c>
      <c r="H6" s="9">
        <f t="shared" ca="1" si="0"/>
        <v>46194.471477083331</v>
      </c>
      <c r="I6" s="9">
        <f t="shared" ca="1" si="1"/>
        <v>46194.011060416662</v>
      </c>
    </row>
    <row r="7" spans="1:9" x14ac:dyDescent="0.3">
      <c r="A7" s="8">
        <f ca="1">IF(I7="","",RANK(I7,I$2:I$171,1))</f>
        <v>6</v>
      </c>
      <c r="B7" s="10">
        <v>59</v>
      </c>
      <c r="C7" s="12" t="s">
        <v>74</v>
      </c>
      <c r="D7" s="8">
        <v>2</v>
      </c>
      <c r="E7" s="8" t="s">
        <v>73</v>
      </c>
      <c r="F7" s="9">
        <v>0.454166666666667</v>
      </c>
      <c r="G7" s="9" t="s">
        <v>113</v>
      </c>
      <c r="H7" s="9">
        <f t="shared" ca="1" si="0"/>
        <v>46194.465381134258</v>
      </c>
      <c r="I7" s="9">
        <f t="shared" ca="1" si="1"/>
        <v>46194.011214467588</v>
      </c>
    </row>
    <row r="8" spans="1:9" x14ac:dyDescent="0.3">
      <c r="A8" s="8">
        <f ca="1">IF(I8="","",RANK(I8,I$2:I$171,1))</f>
        <v>7</v>
      </c>
      <c r="B8" s="10">
        <v>64</v>
      </c>
      <c r="C8" s="12" t="s">
        <v>75</v>
      </c>
      <c r="D8" s="8">
        <v>1</v>
      </c>
      <c r="E8" s="8" t="s">
        <v>76</v>
      </c>
      <c r="F8" s="9">
        <v>0.45805555555555555</v>
      </c>
      <c r="G8" s="9" t="s">
        <v>113</v>
      </c>
      <c r="H8" s="9">
        <f t="shared" ca="1" si="0"/>
        <v>46194.469281944446</v>
      </c>
      <c r="I8" s="9">
        <f t="shared" ca="1" si="1"/>
        <v>46194.011226388888</v>
      </c>
    </row>
    <row r="9" spans="1:9" x14ac:dyDescent="0.3">
      <c r="A9" s="8">
        <f ca="1">IF(I9="","",RANK(I9,I$2:I$171,1))</f>
        <v>8</v>
      </c>
      <c r="B9" s="10">
        <v>63</v>
      </c>
      <c r="C9" s="12" t="s">
        <v>94</v>
      </c>
      <c r="D9" s="8">
        <v>1</v>
      </c>
      <c r="E9" s="8" t="s">
        <v>95</v>
      </c>
      <c r="F9" s="9">
        <v>0.45694444444444399</v>
      </c>
      <c r="G9" s="9" t="s">
        <v>113</v>
      </c>
      <c r="H9" s="9">
        <f t="shared" ca="1" si="0"/>
        <v>46194.468367939815</v>
      </c>
      <c r="I9" s="9">
        <f t="shared" ca="1" si="1"/>
        <v>46194.011423495373</v>
      </c>
    </row>
    <row r="10" spans="1:9" x14ac:dyDescent="0.3">
      <c r="A10" s="8">
        <f ca="1">IF(I10="","",RANK(I10,I$2:I$171,1))</f>
        <v>9</v>
      </c>
      <c r="B10" s="10">
        <v>82</v>
      </c>
      <c r="C10" s="12" t="s">
        <v>35</v>
      </c>
      <c r="D10" s="8">
        <v>2</v>
      </c>
      <c r="E10" s="8" t="s">
        <v>51</v>
      </c>
      <c r="F10" s="9">
        <v>0.47013888888888899</v>
      </c>
      <c r="G10" s="9" t="s">
        <v>113</v>
      </c>
      <c r="H10" s="9">
        <f t="shared" ca="1" si="0"/>
        <v>46194.481580902779</v>
      </c>
      <c r="I10" s="9">
        <f t="shared" ca="1" si="1"/>
        <v>46194.011442013893</v>
      </c>
    </row>
    <row r="11" spans="1:9" x14ac:dyDescent="0.3">
      <c r="A11" s="8">
        <f ca="1">IF(I11="","",RANK(I11,I$2:I$171,1))</f>
        <v>10</v>
      </c>
      <c r="B11" s="10">
        <v>78</v>
      </c>
      <c r="C11" s="12" t="s">
        <v>18</v>
      </c>
      <c r="D11" s="8">
        <v>3</v>
      </c>
      <c r="E11" s="8" t="s">
        <v>51</v>
      </c>
      <c r="F11" s="9">
        <v>0.46736111111111101</v>
      </c>
      <c r="G11" s="9" t="s">
        <v>113</v>
      </c>
      <c r="H11" s="9">
        <f t="shared" ca="1" si="0"/>
        <v>46194.478831018518</v>
      </c>
      <c r="I11" s="9">
        <f t="shared" ca="1" si="1"/>
        <v>46194.011469907404</v>
      </c>
    </row>
    <row r="12" spans="1:9" x14ac:dyDescent="0.3">
      <c r="A12" s="8">
        <f ca="1">IF(I12="","",RANK(I12,I$2:I$171,1))</f>
        <v>11</v>
      </c>
      <c r="B12" s="10">
        <v>57</v>
      </c>
      <c r="C12" s="12" t="s">
        <v>72</v>
      </c>
      <c r="D12" s="8">
        <v>2</v>
      </c>
      <c r="E12" s="8" t="s">
        <v>73</v>
      </c>
      <c r="F12" s="9">
        <v>0.452777777777778</v>
      </c>
      <c r="G12" s="9" t="s">
        <v>113</v>
      </c>
      <c r="H12" s="9">
        <f t="shared" ca="1" si="0"/>
        <v>46194.464338310187</v>
      </c>
      <c r="I12" s="9">
        <f t="shared" ca="1" si="1"/>
        <v>46194.01156053241</v>
      </c>
    </row>
    <row r="13" spans="1:9" x14ac:dyDescent="0.3">
      <c r="A13" s="8">
        <f ca="1">IF(I13="","",RANK(I13,I$2:I$171,1))</f>
        <v>12</v>
      </c>
      <c r="B13" s="10">
        <v>3</v>
      </c>
      <c r="C13" s="12" t="s">
        <v>17</v>
      </c>
      <c r="D13" s="8">
        <v>2</v>
      </c>
      <c r="E13" s="8" t="s">
        <v>51</v>
      </c>
      <c r="F13" s="9">
        <v>0.41805555555555601</v>
      </c>
      <c r="G13" s="9" t="s">
        <v>113</v>
      </c>
      <c r="H13" s="9">
        <f t="shared" ca="1" si="0"/>
        <v>46194.429659606481</v>
      </c>
      <c r="I13" s="9">
        <f t="shared" ca="1" si="1"/>
        <v>46194.011604050924</v>
      </c>
    </row>
    <row r="14" spans="1:9" x14ac:dyDescent="0.3">
      <c r="A14" s="8">
        <f ca="1">IF(I14="","",RANK(I14,I$2:I$171,1))</f>
        <v>13</v>
      </c>
      <c r="B14" s="10">
        <v>21</v>
      </c>
      <c r="C14" s="12" t="s">
        <v>92</v>
      </c>
      <c r="D14" s="8" t="s">
        <v>32</v>
      </c>
      <c r="E14" s="8" t="s">
        <v>93</v>
      </c>
      <c r="F14" s="9">
        <v>0.42986111111111103</v>
      </c>
      <c r="G14" s="9" t="s">
        <v>113</v>
      </c>
      <c r="H14" s="9">
        <f t="shared" ca="1" si="0"/>
        <v>46194.441475347223</v>
      </c>
      <c r="I14" s="9">
        <f t="shared" ca="1" si="1"/>
        <v>46194.011614236115</v>
      </c>
    </row>
    <row r="15" spans="1:9" x14ac:dyDescent="0.3">
      <c r="A15" s="8">
        <f ca="1">IF(I15="","",RANK(I15,I$2:I$171,1))</f>
        <v>14</v>
      </c>
      <c r="B15" s="10">
        <v>51</v>
      </c>
      <c r="C15" s="12" t="s">
        <v>16</v>
      </c>
      <c r="D15" s="8">
        <v>2</v>
      </c>
      <c r="E15" s="8" t="s">
        <v>64</v>
      </c>
      <c r="F15" s="9">
        <v>0.44861111111111102</v>
      </c>
      <c r="G15" s="9" t="s">
        <v>113</v>
      </c>
      <c r="H15" s="9">
        <f t="shared" ca="1" si="0"/>
        <v>46194.460232407408</v>
      </c>
      <c r="I15" s="9">
        <f t="shared" ca="1" si="1"/>
        <v>46194.011621296297</v>
      </c>
    </row>
    <row r="16" spans="1:9" x14ac:dyDescent="0.3">
      <c r="A16" s="8">
        <f ca="1">IF(I16="","",RANK(I16,I$2:I$171,1))</f>
        <v>15</v>
      </c>
      <c r="B16" s="10">
        <v>32</v>
      </c>
      <c r="C16" s="12" t="s">
        <v>103</v>
      </c>
      <c r="D16" s="8" t="s">
        <v>37</v>
      </c>
      <c r="E16" s="8" t="s">
        <v>37</v>
      </c>
      <c r="F16" s="9">
        <v>0.4375</v>
      </c>
      <c r="G16" s="9" t="s">
        <v>113</v>
      </c>
      <c r="H16" s="9">
        <f t="shared" ca="1" si="0"/>
        <v>46194.449131597219</v>
      </c>
      <c r="I16" s="9">
        <f t="shared" ca="1" si="1"/>
        <v>46194.011631597219</v>
      </c>
    </row>
    <row r="17" spans="1:9" x14ac:dyDescent="0.3">
      <c r="A17" s="8">
        <f ca="1">IF(I17="","",RANK(I17,I$2:I$171,1))</f>
        <v>16</v>
      </c>
      <c r="B17" s="10">
        <v>30</v>
      </c>
      <c r="C17" s="12" t="s">
        <v>96</v>
      </c>
      <c r="D17" s="8" t="s">
        <v>37</v>
      </c>
      <c r="E17" s="8" t="s">
        <v>37</v>
      </c>
      <c r="F17" s="9">
        <v>0.43611111111111101</v>
      </c>
      <c r="G17" s="9" t="s">
        <v>113</v>
      </c>
      <c r="H17" s="9">
        <f t="shared" ca="1" si="0"/>
        <v>46194.447744675927</v>
      </c>
      <c r="I17" s="9">
        <f t="shared" ca="1" si="1"/>
        <v>46194.011633564813</v>
      </c>
    </row>
    <row r="18" spans="1:9" x14ac:dyDescent="0.3">
      <c r="A18" s="8">
        <f ca="1">IF(I18="","",RANK(I18,I$2:I$171,1))</f>
        <v>17</v>
      </c>
      <c r="B18" s="10">
        <v>58</v>
      </c>
      <c r="C18" s="12" t="s">
        <v>33</v>
      </c>
      <c r="D18" s="8">
        <v>2</v>
      </c>
      <c r="E18" s="8" t="s">
        <v>60</v>
      </c>
      <c r="F18" s="9">
        <v>0.453472222222222</v>
      </c>
      <c r="G18" s="9" t="s">
        <v>113</v>
      </c>
      <c r="H18" s="9">
        <f t="shared" ca="1" si="0"/>
        <v>46194.465118749999</v>
      </c>
      <c r="I18" s="9">
        <f t="shared" ca="1" si="1"/>
        <v>46194.011646527775</v>
      </c>
    </row>
    <row r="19" spans="1:9" x14ac:dyDescent="0.3">
      <c r="A19" s="8">
        <f ca="1">IF(I19="","",RANK(I19,I$2:I$171,1))</f>
        <v>18</v>
      </c>
      <c r="B19" s="10">
        <v>56</v>
      </c>
      <c r="C19" s="12" t="s">
        <v>71</v>
      </c>
      <c r="D19" s="8">
        <v>2</v>
      </c>
      <c r="E19" s="8" t="s">
        <v>60</v>
      </c>
      <c r="F19" s="9">
        <v>0.452083333333333</v>
      </c>
      <c r="G19" s="9" t="s">
        <v>113</v>
      </c>
      <c r="H19" s="9">
        <f t="shared" ca="1" si="0"/>
        <v>46194.463739814812</v>
      </c>
      <c r="I19" s="9">
        <f t="shared" ca="1" si="1"/>
        <v>46194.011656481482</v>
      </c>
    </row>
    <row r="20" spans="1:9" x14ac:dyDescent="0.3">
      <c r="A20" s="8">
        <f ca="1">IF(I20="","",RANK(I20,I$2:I$171,1))</f>
        <v>19</v>
      </c>
      <c r="B20" s="10">
        <v>54</v>
      </c>
      <c r="C20" s="12" t="s">
        <v>15</v>
      </c>
      <c r="D20" s="8">
        <v>2</v>
      </c>
      <c r="E20" s="8" t="s">
        <v>114</v>
      </c>
      <c r="F20" s="9">
        <v>0.45173611111111112</v>
      </c>
      <c r="G20" s="9" t="s">
        <v>113</v>
      </c>
      <c r="H20" s="36">
        <f t="shared" ca="1" si="0"/>
        <v>46194.463412268517</v>
      </c>
      <c r="I20" s="36">
        <f t="shared" ca="1" si="1"/>
        <v>46194.011676157403</v>
      </c>
    </row>
    <row r="21" spans="1:9" x14ac:dyDescent="0.3">
      <c r="A21" s="8">
        <f ca="1">IF(I21="","",RANK(I21,I$2:I$171,1))</f>
        <v>20</v>
      </c>
      <c r="B21" s="10">
        <v>55</v>
      </c>
      <c r="C21" s="12" t="s">
        <v>69</v>
      </c>
      <c r="D21" s="8">
        <v>2</v>
      </c>
      <c r="E21" s="8" t="s">
        <v>70</v>
      </c>
      <c r="F21" s="9">
        <v>0.45734953703703701</v>
      </c>
      <c r="G21" s="9" t="s">
        <v>113</v>
      </c>
      <c r="H21" s="9">
        <f t="shared" ca="1" si="0"/>
        <v>46194.469089583334</v>
      </c>
      <c r="I21" s="9">
        <f t="shared" ca="1" si="1"/>
        <v>46194.011740046299</v>
      </c>
    </row>
    <row r="22" spans="1:9" x14ac:dyDescent="0.3">
      <c r="A22" s="8">
        <f ca="1">IF(I22="","",RANK(I22,I$2:I$171,1))</f>
        <v>21</v>
      </c>
      <c r="B22" s="10">
        <v>53</v>
      </c>
      <c r="C22" s="12" t="s">
        <v>91</v>
      </c>
      <c r="D22" s="8">
        <v>2</v>
      </c>
      <c r="E22" s="8" t="s">
        <v>78</v>
      </c>
      <c r="F22" s="9">
        <v>0.45162037037037039</v>
      </c>
      <c r="G22" s="9" t="s">
        <v>113</v>
      </c>
      <c r="H22" s="36">
        <f t="shared" ca="1" si="0"/>
        <v>46194.463400810186</v>
      </c>
      <c r="I22" s="36">
        <f t="shared" ca="1" si="1"/>
        <v>46194.011780439818</v>
      </c>
    </row>
    <row r="23" spans="1:9" x14ac:dyDescent="0.3">
      <c r="A23" s="8">
        <f ca="1">IF(I23="","",RANK(I23,I$2:I$171,1))</f>
        <v>22</v>
      </c>
      <c r="B23" s="10">
        <v>17</v>
      </c>
      <c r="C23" s="12" t="s">
        <v>12</v>
      </c>
      <c r="D23" s="8" t="s">
        <v>32</v>
      </c>
      <c r="E23" s="8" t="s">
        <v>51</v>
      </c>
      <c r="F23" s="9">
        <v>0.42708333333333298</v>
      </c>
      <c r="G23" s="9" t="s">
        <v>113</v>
      </c>
      <c r="H23" s="9">
        <f t="shared" ca="1" si="0"/>
        <v>46194.438909143515</v>
      </c>
      <c r="I23" s="9">
        <f t="shared" ca="1" si="1"/>
        <v>46194.011825810179</v>
      </c>
    </row>
    <row r="24" spans="1:9" x14ac:dyDescent="0.3">
      <c r="A24" s="8">
        <f ca="1">IF(I24="","",RANK(I24,I$2:I$171,1))</f>
        <v>23</v>
      </c>
      <c r="B24" s="10">
        <v>20</v>
      </c>
      <c r="C24" s="12" t="s">
        <v>89</v>
      </c>
      <c r="D24" s="8" t="s">
        <v>32</v>
      </c>
      <c r="E24" s="8" t="s">
        <v>90</v>
      </c>
      <c r="F24" s="9">
        <v>0.42916666666666697</v>
      </c>
      <c r="G24" s="9" t="s">
        <v>113</v>
      </c>
      <c r="H24" s="9">
        <f t="shared" ca="1" si="0"/>
        <v>46194.441006944442</v>
      </c>
      <c r="I24" s="9">
        <f t="shared" ca="1" si="1"/>
        <v>46194.011840277773</v>
      </c>
    </row>
    <row r="25" spans="1:9" x14ac:dyDescent="0.3">
      <c r="A25" s="8">
        <f ca="1">IF(I25="","",RANK(I25,I$2:I$171,1))</f>
        <v>24</v>
      </c>
      <c r="B25" s="10">
        <v>81</v>
      </c>
      <c r="C25" s="12" t="s">
        <v>20</v>
      </c>
      <c r="D25" s="8">
        <v>3</v>
      </c>
      <c r="E25" s="8" t="s">
        <v>51</v>
      </c>
      <c r="F25" s="9">
        <v>0.469444444444444</v>
      </c>
      <c r="G25" s="9" t="s">
        <v>113</v>
      </c>
      <c r="H25" s="9">
        <f t="shared" ca="1" si="0"/>
        <v>46194.481335185184</v>
      </c>
      <c r="I25" s="9">
        <f t="shared" ca="1" si="1"/>
        <v>46194.011890740738</v>
      </c>
    </row>
    <row r="26" spans="1:9" x14ac:dyDescent="0.3">
      <c r="A26" s="8">
        <f ca="1">IF(I26="","",RANK(I26,I$2:I$171,1))</f>
        <v>25</v>
      </c>
      <c r="B26" s="10">
        <v>28</v>
      </c>
      <c r="C26" s="12" t="s">
        <v>87</v>
      </c>
      <c r="D26" s="8" t="s">
        <v>37</v>
      </c>
      <c r="E26" s="8" t="s">
        <v>37</v>
      </c>
      <c r="F26" s="9">
        <v>0.43472222222222201</v>
      </c>
      <c r="G26" s="9" t="s">
        <v>113</v>
      </c>
      <c r="H26" s="9">
        <f t="shared" ca="1" si="0"/>
        <v>46194.446621527779</v>
      </c>
      <c r="I26" s="9">
        <f t="shared" ca="1" si="1"/>
        <v>46194.011899305558</v>
      </c>
    </row>
    <row r="27" spans="1:9" x14ac:dyDescent="0.3">
      <c r="A27" s="8">
        <f ca="1">IF(I27="","",RANK(I27,I$2:I$171,1))</f>
        <v>26</v>
      </c>
      <c r="B27" s="10">
        <v>44</v>
      </c>
      <c r="C27" s="12" t="s">
        <v>63</v>
      </c>
      <c r="D27" s="8">
        <v>3</v>
      </c>
      <c r="E27" s="8" t="s">
        <v>64</v>
      </c>
      <c r="F27" s="9">
        <v>0.44444444444444398</v>
      </c>
      <c r="G27" s="9" t="s">
        <v>113</v>
      </c>
      <c r="H27" s="9">
        <f t="shared" ca="1" si="0"/>
        <v>46194.456468055556</v>
      </c>
      <c r="I27" s="9">
        <f t="shared" ca="1" si="1"/>
        <v>46194.012023611111</v>
      </c>
    </row>
    <row r="28" spans="1:9" x14ac:dyDescent="0.3">
      <c r="A28" s="8">
        <f ca="1">IF(I28="","",RANK(I28,I$2:I$171,1))</f>
        <v>27</v>
      </c>
      <c r="B28" s="10">
        <v>79</v>
      </c>
      <c r="C28" s="12" t="s">
        <v>22</v>
      </c>
      <c r="D28" s="8">
        <v>3</v>
      </c>
      <c r="E28" s="8" t="s">
        <v>51</v>
      </c>
      <c r="F28" s="9">
        <v>0.47638888888888886</v>
      </c>
      <c r="G28" s="9" t="s">
        <v>113</v>
      </c>
      <c r="H28" s="9">
        <f t="shared" ca="1" si="0"/>
        <v>46194.488417361114</v>
      </c>
      <c r="I28" s="9">
        <f t="shared" ca="1" si="1"/>
        <v>46194.012028472222</v>
      </c>
    </row>
    <row r="29" spans="1:9" x14ac:dyDescent="0.3">
      <c r="A29" s="8">
        <f ca="1">IF(I29="","",RANK(I29,I$2:I$171,1))</f>
        <v>28</v>
      </c>
      <c r="B29" s="10">
        <v>13</v>
      </c>
      <c r="C29" s="12" t="s">
        <v>83</v>
      </c>
      <c r="D29" s="8" t="s">
        <v>44</v>
      </c>
      <c r="E29" s="8" t="s">
        <v>56</v>
      </c>
      <c r="F29" s="9">
        <v>0.42430555555555599</v>
      </c>
      <c r="G29" s="9" t="s">
        <v>113</v>
      </c>
      <c r="H29" s="9">
        <f t="shared" ca="1" si="0"/>
        <v>46194.436338425927</v>
      </c>
      <c r="I29" s="9">
        <f t="shared" ca="1" si="1"/>
        <v>46194.012032870371</v>
      </c>
    </row>
    <row r="30" spans="1:9" x14ac:dyDescent="0.3">
      <c r="A30" s="8">
        <f ca="1">IF(I30="","",RANK(I30,I$2:I$171,1))</f>
        <v>29</v>
      </c>
      <c r="B30" s="10">
        <v>47</v>
      </c>
      <c r="C30" s="12" t="s">
        <v>19</v>
      </c>
      <c r="D30" s="8">
        <v>3</v>
      </c>
      <c r="E30" s="8" t="s">
        <v>62</v>
      </c>
      <c r="F30" s="9">
        <v>0.44583333333333303</v>
      </c>
      <c r="G30" s="9" t="s">
        <v>113</v>
      </c>
      <c r="H30" s="9">
        <f t="shared" ca="1" si="0"/>
        <v>46194.457913078702</v>
      </c>
      <c r="I30" s="9">
        <f t="shared" ca="1" si="1"/>
        <v>46194.012079745371</v>
      </c>
    </row>
    <row r="31" spans="1:9" x14ac:dyDescent="0.3">
      <c r="A31" s="8">
        <f ca="1">IF(I31="","",RANK(I31,I$2:I$171,1))</f>
        <v>30</v>
      </c>
      <c r="B31" s="10">
        <v>41</v>
      </c>
      <c r="C31" s="12" t="s">
        <v>59</v>
      </c>
      <c r="D31" s="8">
        <v>3</v>
      </c>
      <c r="E31" s="8" t="s">
        <v>60</v>
      </c>
      <c r="F31" s="9">
        <v>0.44236111111111098</v>
      </c>
      <c r="G31" s="9" t="s">
        <v>113</v>
      </c>
      <c r="H31" s="9">
        <f t="shared" ca="1" si="0"/>
        <v>46194.454529976851</v>
      </c>
      <c r="I31" s="9">
        <f t="shared" ca="1" si="1"/>
        <v>46194.012168865738</v>
      </c>
    </row>
    <row r="32" spans="1:9" x14ac:dyDescent="0.3">
      <c r="A32" s="8">
        <f ca="1">IF(I32="","",RANK(I32,I$2:I$171,1))</f>
        <v>31</v>
      </c>
      <c r="B32" s="10">
        <v>80</v>
      </c>
      <c r="C32" s="12" t="s">
        <v>36</v>
      </c>
      <c r="D32" s="8">
        <v>3</v>
      </c>
      <c r="E32" s="8" t="s">
        <v>51</v>
      </c>
      <c r="F32" s="9">
        <v>0.47430555555555554</v>
      </c>
      <c r="G32" s="9" t="s">
        <v>113</v>
      </c>
      <c r="H32" s="9">
        <f t="shared" ca="1" si="0"/>
        <v>46194.486517824073</v>
      </c>
      <c r="I32" s="9">
        <f t="shared" ca="1" si="1"/>
        <v>46194.012212268513</v>
      </c>
    </row>
    <row r="33" spans="1:9" x14ac:dyDescent="0.3">
      <c r="A33" s="8">
        <f ca="1">IF(I33="","",RANK(I33,I$2:I$171,1))</f>
        <v>32</v>
      </c>
      <c r="B33" s="10">
        <v>4</v>
      </c>
      <c r="C33" s="12" t="s">
        <v>24</v>
      </c>
      <c r="D33" s="8">
        <v>3</v>
      </c>
      <c r="E33" s="8" t="s">
        <v>51</v>
      </c>
      <c r="F33" s="9">
        <v>0.41875000000000001</v>
      </c>
      <c r="G33" s="9" t="s">
        <v>113</v>
      </c>
      <c r="H33" s="9">
        <f t="shared" ca="1" si="0"/>
        <v>46194.430979166667</v>
      </c>
      <c r="I33" s="9">
        <f t="shared" ca="1" si="1"/>
        <v>46194.01222916667</v>
      </c>
    </row>
    <row r="34" spans="1:9" x14ac:dyDescent="0.3">
      <c r="A34" s="8">
        <f ca="1">IF(I34="","",RANK(I34,I$2:I$171,1))</f>
        <v>33</v>
      </c>
      <c r="B34" s="10">
        <v>5</v>
      </c>
      <c r="C34" s="12" t="s">
        <v>21</v>
      </c>
      <c r="D34" s="8">
        <v>3</v>
      </c>
      <c r="E34" s="8" t="s">
        <v>51</v>
      </c>
      <c r="F34" s="9">
        <v>0.41944444444444401</v>
      </c>
      <c r="G34" s="9" t="s">
        <v>113</v>
      </c>
      <c r="H34" s="9">
        <f t="shared" ca="1" si="0"/>
        <v>46194.431685416668</v>
      </c>
      <c r="I34" s="9">
        <f t="shared" ca="1" si="1"/>
        <v>46194.012240972224</v>
      </c>
    </row>
    <row r="35" spans="1:9" x14ac:dyDescent="0.3">
      <c r="A35" s="8">
        <f ca="1">IF(I35="","",RANK(I35,I$2:I$171,1))</f>
        <v>34</v>
      </c>
      <c r="B35" s="10">
        <v>76</v>
      </c>
      <c r="C35" s="12" t="s">
        <v>53</v>
      </c>
      <c r="D35" s="8">
        <v>4</v>
      </c>
      <c r="E35" s="8" t="s">
        <v>70</v>
      </c>
      <c r="F35" s="9">
        <v>0.46597222222222201</v>
      </c>
      <c r="G35" s="9" t="s">
        <v>113</v>
      </c>
      <c r="H35" s="9">
        <f t="shared" ca="1" si="0"/>
        <v>46194.478231018518</v>
      </c>
      <c r="I35" s="9">
        <f t="shared" ca="1" si="1"/>
        <v>46194.012258796298</v>
      </c>
    </row>
    <row r="36" spans="1:9" x14ac:dyDescent="0.3">
      <c r="A36" s="8">
        <f ca="1">IF(I36="","",RANK(I36,I$2:I$171,1))</f>
        <v>35</v>
      </c>
      <c r="B36" s="10">
        <v>37</v>
      </c>
      <c r="C36" s="12" t="s">
        <v>55</v>
      </c>
      <c r="D36" s="8">
        <v>3</v>
      </c>
      <c r="E36" s="8" t="s">
        <v>56</v>
      </c>
      <c r="F36" s="9">
        <v>0.44027777777777799</v>
      </c>
      <c r="G36" s="9" t="s">
        <v>113</v>
      </c>
      <c r="H36" s="9">
        <f t="shared" ca="1" si="0"/>
        <v>46194.452549189817</v>
      </c>
      <c r="I36" s="9">
        <f t="shared" ca="1" si="1"/>
        <v>46194.012271412037</v>
      </c>
    </row>
    <row r="37" spans="1:9" x14ac:dyDescent="0.3">
      <c r="A37" s="8">
        <f ca="1">IF(I37="","",RANK(I37,I$2:I$171,1))</f>
        <v>36</v>
      </c>
      <c r="B37" s="10">
        <v>2</v>
      </c>
      <c r="C37" s="12" t="s">
        <v>13</v>
      </c>
      <c r="D37" s="8">
        <v>1</v>
      </c>
      <c r="E37" s="8" t="s">
        <v>51</v>
      </c>
      <c r="F37" s="9">
        <v>0.41736111111111113</v>
      </c>
      <c r="G37" s="9" t="s">
        <v>113</v>
      </c>
      <c r="H37" s="9">
        <f t="shared" ca="1" si="0"/>
        <v>46194.429641319446</v>
      </c>
      <c r="I37" s="9">
        <f t="shared" ca="1" si="1"/>
        <v>46194.012280208335</v>
      </c>
    </row>
    <row r="38" spans="1:9" x14ac:dyDescent="0.3">
      <c r="A38" s="8">
        <f ca="1">IF(I38="","",RANK(I38,I$2:I$171,1))</f>
        <v>37</v>
      </c>
      <c r="B38" s="10">
        <v>73</v>
      </c>
      <c r="C38" s="12" t="s">
        <v>101</v>
      </c>
      <c r="D38" s="8">
        <v>4</v>
      </c>
      <c r="E38" s="8" t="s">
        <v>115</v>
      </c>
      <c r="F38" s="9">
        <v>0.46388888888888902</v>
      </c>
      <c r="G38" s="9" t="s">
        <v>113</v>
      </c>
      <c r="H38" s="9">
        <f t="shared" ca="1" si="0"/>
        <v>46194.476186921296</v>
      </c>
      <c r="I38" s="9">
        <f t="shared" ca="1" si="1"/>
        <v>46194.012298032409</v>
      </c>
    </row>
    <row r="39" spans="1:9" x14ac:dyDescent="0.3">
      <c r="A39" s="8">
        <f ca="1">IF(I39="","",RANK(I39,I$2:I$171,1))</f>
        <v>38</v>
      </c>
      <c r="B39" s="10">
        <v>19</v>
      </c>
      <c r="C39" s="12" t="s">
        <v>42</v>
      </c>
      <c r="D39" s="8" t="s">
        <v>32</v>
      </c>
      <c r="E39" s="8" t="s">
        <v>56</v>
      </c>
      <c r="F39" s="9">
        <v>0.42847222222222198</v>
      </c>
      <c r="G39" s="9" t="s">
        <v>113</v>
      </c>
      <c r="H39" s="9">
        <f t="shared" ca="1" si="0"/>
        <v>46194.440795138886</v>
      </c>
      <c r="I39" s="9">
        <f t="shared" ca="1" si="1"/>
        <v>46194.012322916664</v>
      </c>
    </row>
    <row r="40" spans="1:9" x14ac:dyDescent="0.3">
      <c r="A40" s="8">
        <f ca="1">IF(I40="","",RANK(I40,I$2:I$171,1))</f>
        <v>39</v>
      </c>
      <c r="B40" s="10">
        <v>39</v>
      </c>
      <c r="C40" s="12" t="s">
        <v>57</v>
      </c>
      <c r="D40" s="8">
        <v>3</v>
      </c>
      <c r="E40" s="8" t="s">
        <v>56</v>
      </c>
      <c r="F40" s="9">
        <v>0.44166666666666698</v>
      </c>
      <c r="G40" s="9" t="s">
        <v>113</v>
      </c>
      <c r="H40" s="9">
        <f t="shared" ca="1" si="0"/>
        <v>46194.454015162039</v>
      </c>
      <c r="I40" s="9">
        <f t="shared" ca="1" si="1"/>
        <v>46194.012348495373</v>
      </c>
    </row>
    <row r="41" spans="1:9" x14ac:dyDescent="0.3">
      <c r="A41" s="8">
        <f ca="1">IF(I41="","",RANK(I41,I$2:I$171,1))</f>
        <v>40</v>
      </c>
      <c r="B41" s="10">
        <v>18</v>
      </c>
      <c r="C41" s="12" t="s">
        <v>11</v>
      </c>
      <c r="D41" s="8" t="s">
        <v>32</v>
      </c>
      <c r="E41" s="8" t="s">
        <v>80</v>
      </c>
      <c r="F41" s="9">
        <v>0.42777777777777798</v>
      </c>
      <c r="G41" s="9" t="s">
        <v>113</v>
      </c>
      <c r="H41" s="9">
        <f t="shared" ca="1" si="0"/>
        <v>46194.44030185185</v>
      </c>
      <c r="I41" s="9">
        <f t="shared" ca="1" si="1"/>
        <v>46194.012524074074</v>
      </c>
    </row>
    <row r="42" spans="1:9" x14ac:dyDescent="0.3">
      <c r="A42" s="8">
        <f ca="1">IF(I42="","",RANK(I42,I$2:I$171,1))</f>
        <v>41</v>
      </c>
      <c r="B42" s="10">
        <v>43</v>
      </c>
      <c r="C42" s="12" t="s">
        <v>23</v>
      </c>
      <c r="D42" s="8">
        <v>3</v>
      </c>
      <c r="E42" s="8" t="s">
        <v>56</v>
      </c>
      <c r="F42" s="9">
        <v>0.44374999999999998</v>
      </c>
      <c r="G42" s="9" t="s">
        <v>113</v>
      </c>
      <c r="H42" s="9">
        <f t="shared" ca="1" si="0"/>
        <v>46194.456289583337</v>
      </c>
      <c r="I42" s="9">
        <f t="shared" ca="1" si="1"/>
        <v>46194.012539583338</v>
      </c>
    </row>
    <row r="43" spans="1:9" x14ac:dyDescent="0.3">
      <c r="A43" s="8">
        <f ca="1">IF(I43="","",RANK(I43,I$2:I$171,1))</f>
        <v>42</v>
      </c>
      <c r="B43" s="10">
        <v>16</v>
      </c>
      <c r="C43" s="12" t="s">
        <v>100</v>
      </c>
      <c r="D43" s="8" t="s">
        <v>44</v>
      </c>
      <c r="E43" s="8" t="s">
        <v>81</v>
      </c>
      <c r="F43" s="9">
        <v>0.42638888888888898</v>
      </c>
      <c r="G43" s="9" t="s">
        <v>113</v>
      </c>
      <c r="H43" s="9">
        <f t="shared" ca="1" si="0"/>
        <v>46194.438930671298</v>
      </c>
      <c r="I43" s="9">
        <f t="shared" ca="1" si="1"/>
        <v>46194.012541782409</v>
      </c>
    </row>
    <row r="44" spans="1:9" x14ac:dyDescent="0.3">
      <c r="A44" s="8">
        <f ca="1">IF(I44="","",RANK(I44,I$2:I$171,1))</f>
        <v>43</v>
      </c>
      <c r="B44" s="10">
        <v>60</v>
      </c>
      <c r="C44" s="12" t="s">
        <v>82</v>
      </c>
      <c r="D44" s="8">
        <v>2</v>
      </c>
      <c r="E44" s="8" t="s">
        <v>60</v>
      </c>
      <c r="F44" s="9">
        <v>0.45486111111111099</v>
      </c>
      <c r="G44" s="9" t="s">
        <v>113</v>
      </c>
      <c r="H44" s="9">
        <f t="shared" ca="1" si="0"/>
        <v>46194.467408680553</v>
      </c>
      <c r="I44" s="9">
        <f t="shared" ca="1" si="1"/>
        <v>46194.012547569444</v>
      </c>
    </row>
    <row r="45" spans="1:9" x14ac:dyDescent="0.3">
      <c r="A45" s="8">
        <f ca="1">IF(I45="","",RANK(I45,I$2:I$171,1))</f>
        <v>44</v>
      </c>
      <c r="B45" s="10">
        <v>46</v>
      </c>
      <c r="C45" s="12" t="s">
        <v>65</v>
      </c>
      <c r="D45" s="8">
        <v>3</v>
      </c>
      <c r="E45" s="8" t="s">
        <v>56</v>
      </c>
      <c r="F45" s="9">
        <v>0.44513888888888897</v>
      </c>
      <c r="G45" s="9" t="s">
        <v>113</v>
      </c>
      <c r="H45" s="9">
        <f t="shared" ca="1" si="0"/>
        <v>46194.457787847219</v>
      </c>
      <c r="I45" s="9">
        <f t="shared" ca="1" si="1"/>
        <v>46194.012648958327</v>
      </c>
    </row>
    <row r="46" spans="1:9" x14ac:dyDescent="0.3">
      <c r="A46" s="8">
        <f ca="1">IF(I46="","",RANK(I46,I$2:I$171,1))</f>
        <v>45</v>
      </c>
      <c r="B46" s="10">
        <v>23</v>
      </c>
      <c r="C46" s="12" t="s">
        <v>31</v>
      </c>
      <c r="D46" s="8" t="s">
        <v>37</v>
      </c>
      <c r="E46" s="8" t="s">
        <v>37</v>
      </c>
      <c r="F46" s="9">
        <v>0.43125000000000002</v>
      </c>
      <c r="G46" s="9" t="s">
        <v>113</v>
      </c>
      <c r="H46" s="9">
        <f t="shared" ca="1" si="0"/>
        <v>46194.443964351849</v>
      </c>
      <c r="I46" s="9">
        <f t="shared" ca="1" si="1"/>
        <v>46194.012714351848</v>
      </c>
    </row>
    <row r="47" spans="1:9" x14ac:dyDescent="0.3">
      <c r="A47" s="8">
        <f ca="1">IF(I47="","",RANK(I47,I$2:I$171,1))</f>
        <v>46</v>
      </c>
      <c r="B47" s="10">
        <v>52</v>
      </c>
      <c r="C47" s="12" t="s">
        <v>47</v>
      </c>
      <c r="D47" s="8">
        <v>2</v>
      </c>
      <c r="E47" s="8" t="s">
        <v>77</v>
      </c>
      <c r="F47" s="9">
        <v>0.44750000000000001</v>
      </c>
      <c r="G47" s="9" t="s">
        <v>113</v>
      </c>
      <c r="H47" s="9">
        <f t="shared" ca="1" si="0"/>
        <v>46194.460232407408</v>
      </c>
      <c r="I47" s="36">
        <f t="shared" ca="1" si="1"/>
        <v>46194.012732407406</v>
      </c>
    </row>
    <row r="48" spans="1:9" x14ac:dyDescent="0.3">
      <c r="A48" s="8">
        <f ca="1">IF(I48="","",RANK(I48,I$2:I$171,1))</f>
        <v>47</v>
      </c>
      <c r="B48" s="10">
        <v>7</v>
      </c>
      <c r="C48" s="12" t="s">
        <v>25</v>
      </c>
      <c r="D48" s="8">
        <v>4</v>
      </c>
      <c r="E48" s="8" t="s">
        <v>51</v>
      </c>
      <c r="F48" s="9">
        <v>0.420833333333333</v>
      </c>
      <c r="G48" s="9" t="s">
        <v>113</v>
      </c>
      <c r="H48" s="9">
        <f t="shared" ca="1" si="0"/>
        <v>46194.433645949073</v>
      </c>
      <c r="I48" s="9">
        <f t="shared" ca="1" si="1"/>
        <v>46194.012812615743</v>
      </c>
    </row>
    <row r="49" spans="1:9" x14ac:dyDescent="0.3">
      <c r="A49" s="8">
        <f ca="1">IF(I49="","",RANK(I49,I$2:I$171,1))</f>
        <v>48</v>
      </c>
      <c r="B49" s="10">
        <v>27</v>
      </c>
      <c r="C49" s="12" t="s">
        <v>86</v>
      </c>
      <c r="D49" s="8" t="s">
        <v>37</v>
      </c>
      <c r="E49" s="8" t="s">
        <v>56</v>
      </c>
      <c r="F49" s="9">
        <v>0.43333333333333335</v>
      </c>
      <c r="G49" s="9" t="s">
        <v>113</v>
      </c>
      <c r="H49" s="9">
        <f t="shared" ca="1" si="0"/>
        <v>46194.446172800926</v>
      </c>
      <c r="I49" s="9">
        <f t="shared" ca="1" si="1"/>
        <v>46194.012839467592</v>
      </c>
    </row>
    <row r="50" spans="1:9" x14ac:dyDescent="0.3">
      <c r="A50" s="8">
        <f ca="1">IF(I50="","",RANK(I50,I$2:I$171,1))</f>
        <v>49</v>
      </c>
      <c r="B50" s="10">
        <v>42</v>
      </c>
      <c r="C50" s="12" t="s">
        <v>61</v>
      </c>
      <c r="D50" s="8">
        <v>3</v>
      </c>
      <c r="E50" s="8" t="s">
        <v>62</v>
      </c>
      <c r="F50" s="9">
        <v>0.44305555555555498</v>
      </c>
      <c r="G50" s="9" t="s">
        <v>113</v>
      </c>
      <c r="H50" s="9">
        <f t="shared" ca="1" si="0"/>
        <v>46194.455942476852</v>
      </c>
      <c r="I50" s="9">
        <f t="shared" ca="1" si="1"/>
        <v>46194.012886921293</v>
      </c>
    </row>
    <row r="51" spans="1:9" x14ac:dyDescent="0.3">
      <c r="A51" s="8">
        <f ca="1">IF(I51="","",RANK(I51,I$2:I$171,1))</f>
        <v>50</v>
      </c>
      <c r="B51" s="10">
        <v>12</v>
      </c>
      <c r="C51" s="12" t="s">
        <v>46</v>
      </c>
      <c r="D51" s="8" t="s">
        <v>44</v>
      </c>
      <c r="E51" s="8" t="s">
        <v>37</v>
      </c>
      <c r="F51" s="9">
        <v>0.42361111111111099</v>
      </c>
      <c r="G51" s="9" t="s">
        <v>113</v>
      </c>
      <c r="H51" s="9">
        <f t="shared" ca="1" si="0"/>
        <v>46194.436767129628</v>
      </c>
      <c r="I51" s="9">
        <f t="shared" ca="1" si="1"/>
        <v>46194.013156018518</v>
      </c>
    </row>
    <row r="52" spans="1:9" x14ac:dyDescent="0.3">
      <c r="A52" s="8">
        <f ca="1">IF(I52="","",RANK(I52,I$2:I$171,1))</f>
        <v>51</v>
      </c>
      <c r="B52" s="10">
        <v>77</v>
      </c>
      <c r="C52" s="12" t="s">
        <v>58</v>
      </c>
      <c r="D52" s="8">
        <v>3</v>
      </c>
      <c r="E52" s="8" t="s">
        <v>51</v>
      </c>
      <c r="F52" s="9">
        <v>0.46666666666666701</v>
      </c>
      <c r="G52" s="9" t="s">
        <v>113</v>
      </c>
      <c r="H52" s="9">
        <f t="shared" ca="1" si="0"/>
        <v>46194.479825000002</v>
      </c>
      <c r="I52" s="9">
        <f t="shared" ca="1" si="1"/>
        <v>46194.013158333335</v>
      </c>
    </row>
    <row r="53" spans="1:9" x14ac:dyDescent="0.3">
      <c r="A53" s="8">
        <f ca="1">IF(I53="","",RANK(I53,I$2:I$171,1))</f>
        <v>52</v>
      </c>
      <c r="B53" s="10">
        <v>31</v>
      </c>
      <c r="C53" s="19" t="s">
        <v>28</v>
      </c>
      <c r="D53" s="20" t="s">
        <v>37</v>
      </c>
      <c r="E53" s="20" t="s">
        <v>95</v>
      </c>
      <c r="F53" s="9">
        <v>0.436805555555556</v>
      </c>
      <c r="G53" s="9" t="s">
        <v>113</v>
      </c>
      <c r="H53" s="9">
        <f t="shared" ca="1" si="0"/>
        <v>46194.450024537036</v>
      </c>
      <c r="I53" s="9">
        <f t="shared" ca="1" si="1"/>
        <v>46194.013218981483</v>
      </c>
    </row>
    <row r="54" spans="1:9" x14ac:dyDescent="0.3">
      <c r="A54" s="8">
        <f ca="1">IF(I54="","",RANK(I54,I$2:I$171,1))</f>
        <v>53</v>
      </c>
      <c r="B54" s="10">
        <v>83</v>
      </c>
      <c r="C54" s="12" t="s">
        <v>26</v>
      </c>
      <c r="D54" s="8">
        <v>4</v>
      </c>
      <c r="E54" s="8" t="s">
        <v>51</v>
      </c>
      <c r="F54" s="9">
        <v>0.47083333333333299</v>
      </c>
      <c r="G54" s="9" t="s">
        <v>113</v>
      </c>
      <c r="H54" s="9">
        <f t="shared" ca="1" si="0"/>
        <v>46194.484172337965</v>
      </c>
      <c r="I54" s="9">
        <f t="shared" ca="1" si="1"/>
        <v>46194.013339004632</v>
      </c>
    </row>
    <row r="55" spans="1:9" x14ac:dyDescent="0.3">
      <c r="A55" s="8">
        <f ca="1">IF(I55="","",RANK(I55,I$2:I$171,1))</f>
        <v>54</v>
      </c>
      <c r="B55" s="10">
        <v>24</v>
      </c>
      <c r="C55" s="12" t="s">
        <v>29</v>
      </c>
      <c r="D55" s="8" t="s">
        <v>37</v>
      </c>
      <c r="E55" s="8" t="s">
        <v>56</v>
      </c>
      <c r="F55" s="9">
        <v>0.43194444444444402</v>
      </c>
      <c r="G55" s="9" t="s">
        <v>113</v>
      </c>
      <c r="H55" s="9">
        <f t="shared" ca="1" si="0"/>
        <v>46194.445873842589</v>
      </c>
      <c r="I55" s="9">
        <f t="shared" ca="1" si="1"/>
        <v>46194.013929398148</v>
      </c>
    </row>
    <row r="56" spans="1:9" x14ac:dyDescent="0.3">
      <c r="A56" s="8">
        <f ca="1">IF(I56="","",RANK(I56,I$2:I$171,1))</f>
        <v>55</v>
      </c>
      <c r="B56" s="10">
        <v>15</v>
      </c>
      <c r="C56" s="12" t="s">
        <v>48</v>
      </c>
      <c r="D56" s="8" t="s">
        <v>44</v>
      </c>
      <c r="E56" s="8" t="s">
        <v>78</v>
      </c>
      <c r="F56" s="9">
        <v>0.42569444444444399</v>
      </c>
      <c r="G56" s="9" t="s">
        <v>113</v>
      </c>
      <c r="H56" s="9">
        <f t="shared" ca="1" si="0"/>
        <v>46194.439710416664</v>
      </c>
      <c r="I56" s="9">
        <f t="shared" ca="1" si="1"/>
        <v>46194.014015972221</v>
      </c>
    </row>
    <row r="57" spans="1:9" x14ac:dyDescent="0.3">
      <c r="A57" s="8">
        <f ca="1">IF(I57="","",RANK(I57,I$2:I$171,1))</f>
        <v>56</v>
      </c>
      <c r="B57" s="10">
        <v>14</v>
      </c>
      <c r="C57" s="12" t="s">
        <v>27</v>
      </c>
      <c r="D57" s="8" t="s">
        <v>44</v>
      </c>
      <c r="E57" s="8" t="s">
        <v>95</v>
      </c>
      <c r="F57" s="9">
        <v>0.42499999999999999</v>
      </c>
      <c r="G57" s="9" t="s">
        <v>113</v>
      </c>
      <c r="H57" s="9">
        <f t="shared" ca="1" si="0"/>
        <v>46194.440346643518</v>
      </c>
      <c r="I57" s="9">
        <f t="shared" ca="1" si="1"/>
        <v>46194.015346643515</v>
      </c>
    </row>
    <row r="58" spans="1:9" x14ac:dyDescent="0.3">
      <c r="A58" s="8">
        <f ca="1">IF(I58="","",RANK(I58,I$2:I$171,1))</f>
        <v>57</v>
      </c>
      <c r="B58" s="10">
        <v>11</v>
      </c>
      <c r="C58" s="12" t="s">
        <v>43</v>
      </c>
      <c r="D58" s="8" t="s">
        <v>44</v>
      </c>
      <c r="E58" s="8" t="s">
        <v>37</v>
      </c>
      <c r="F58" s="9">
        <v>0.422916666666667</v>
      </c>
      <c r="G58" s="9" t="s">
        <v>113</v>
      </c>
      <c r="H58" s="9">
        <f t="shared" ca="1" si="0"/>
        <v>46194.439621180558</v>
      </c>
      <c r="I58" s="9">
        <f t="shared" ca="1" si="1"/>
        <v>46194.016704513888</v>
      </c>
    </row>
    <row r="59" spans="1:9" x14ac:dyDescent="0.3">
      <c r="A59" s="8" t="s">
        <v>179</v>
      </c>
      <c r="B59" s="10">
        <v>6</v>
      </c>
      <c r="C59" s="12" t="s">
        <v>54</v>
      </c>
      <c r="D59" s="8">
        <v>3</v>
      </c>
      <c r="E59" s="8" t="s">
        <v>51</v>
      </c>
      <c r="F59" s="8">
        <v>0.42013888888888901</v>
      </c>
      <c r="G59" s="8"/>
      <c r="H59" s="8" t="str">
        <f t="shared" ca="1" si="0"/>
        <v/>
      </c>
      <c r="I59" s="8" t="str">
        <f t="shared" ca="1" si="1"/>
        <v/>
      </c>
    </row>
    <row r="60" spans="1:9" x14ac:dyDescent="0.3">
      <c r="A60" s="8" t="s">
        <v>179</v>
      </c>
      <c r="B60" s="10">
        <v>25</v>
      </c>
      <c r="C60" s="12" t="s">
        <v>45</v>
      </c>
      <c r="D60" s="8" t="s">
        <v>37</v>
      </c>
      <c r="E60" s="8" t="s">
        <v>37</v>
      </c>
      <c r="F60" s="8">
        <v>0.421527777777778</v>
      </c>
      <c r="G60" s="8"/>
      <c r="H60" s="8" t="str">
        <f t="shared" ca="1" si="0"/>
        <v/>
      </c>
      <c r="I60" s="8" t="str">
        <f t="shared" ca="1" si="1"/>
        <v/>
      </c>
    </row>
    <row r="61" spans="1:9" x14ac:dyDescent="0.3">
      <c r="A61" s="8" t="s">
        <v>179</v>
      </c>
      <c r="B61" s="10">
        <v>26</v>
      </c>
      <c r="C61" s="12" t="s">
        <v>85</v>
      </c>
      <c r="D61" s="8" t="s">
        <v>37</v>
      </c>
      <c r="E61" s="8" t="s">
        <v>37</v>
      </c>
      <c r="F61" s="8">
        <v>0.422222222222222</v>
      </c>
      <c r="G61" s="8"/>
      <c r="H61" s="8" t="str">
        <f t="shared" ca="1" si="0"/>
        <v/>
      </c>
      <c r="I61" s="8" t="str">
        <f t="shared" ca="1" si="1"/>
        <v/>
      </c>
    </row>
    <row r="62" spans="1:9" x14ac:dyDescent="0.3">
      <c r="A62" s="8" t="s">
        <v>179</v>
      </c>
      <c r="B62" s="10">
        <v>29</v>
      </c>
      <c r="C62" s="12" t="s">
        <v>88</v>
      </c>
      <c r="D62" s="8" t="s">
        <v>37</v>
      </c>
      <c r="E62" s="8" t="s">
        <v>37</v>
      </c>
      <c r="F62" s="8">
        <v>0.43055555555555503</v>
      </c>
      <c r="G62" s="8"/>
      <c r="H62" s="8" t="str">
        <f t="shared" ca="1" si="0"/>
        <v/>
      </c>
      <c r="I62" s="8" t="str">
        <f t="shared" ca="1" si="1"/>
        <v/>
      </c>
    </row>
    <row r="63" spans="1:9" x14ac:dyDescent="0.3">
      <c r="A63" s="8" t="s">
        <v>179</v>
      </c>
      <c r="B63" s="10">
        <v>38</v>
      </c>
      <c r="C63" s="12" t="s">
        <v>67</v>
      </c>
      <c r="D63" s="8">
        <v>3</v>
      </c>
      <c r="E63" s="8" t="s">
        <v>68</v>
      </c>
      <c r="F63" s="8">
        <v>0.43263888888888902</v>
      </c>
      <c r="G63" s="8"/>
      <c r="H63" s="8" t="str">
        <f t="shared" ca="1" si="0"/>
        <v/>
      </c>
      <c r="I63" s="8" t="str">
        <f t="shared" ca="1" si="1"/>
        <v/>
      </c>
    </row>
    <row r="64" spans="1:9" x14ac:dyDescent="0.3">
      <c r="A64" s="8" t="s">
        <v>179</v>
      </c>
      <c r="B64" s="10">
        <v>66</v>
      </c>
      <c r="C64" s="12" t="s">
        <v>30</v>
      </c>
      <c r="D64" s="8">
        <v>1</v>
      </c>
      <c r="E64" s="8" t="s">
        <v>66</v>
      </c>
      <c r="F64" s="8">
        <v>0.43333333333333302</v>
      </c>
      <c r="G64" s="8"/>
      <c r="H64" s="8" t="str">
        <f t="shared" ca="1" si="0"/>
        <v/>
      </c>
      <c r="I64" s="8" t="str">
        <f t="shared" ca="1" si="1"/>
        <v/>
      </c>
    </row>
    <row r="65" spans="1:9" x14ac:dyDescent="0.3">
      <c r="A65" s="8" t="s">
        <v>179</v>
      </c>
      <c r="B65" s="10">
        <v>75</v>
      </c>
      <c r="C65" s="12" t="s">
        <v>52</v>
      </c>
      <c r="D65" s="8">
        <v>4</v>
      </c>
      <c r="E65" s="8" t="s">
        <v>62</v>
      </c>
      <c r="F65" s="8">
        <v>0.43541666666666701</v>
      </c>
      <c r="G65" s="8"/>
      <c r="H65" s="8" t="str">
        <f t="shared" ca="1" si="0"/>
        <v/>
      </c>
      <c r="I65" s="8" t="str">
        <f t="shared" ca="1" si="1"/>
        <v/>
      </c>
    </row>
    <row r="66" spans="1:9" x14ac:dyDescent="0.3">
      <c r="A66" s="8" t="s">
        <v>179</v>
      </c>
      <c r="B66" s="10"/>
      <c r="C66" s="12" t="s">
        <v>181</v>
      </c>
      <c r="D66" s="8" t="s">
        <v>182</v>
      </c>
      <c r="E66" s="8" t="s">
        <v>183</v>
      </c>
      <c r="F66" s="9"/>
      <c r="G66" s="9"/>
      <c r="H66" s="9"/>
      <c r="I66" s="9"/>
    </row>
    <row r="67" spans="1:9" x14ac:dyDescent="0.3">
      <c r="A67" s="40"/>
      <c r="B67" s="41"/>
      <c r="C67" s="42"/>
      <c r="D67" s="40"/>
      <c r="E67" s="40"/>
      <c r="F67" s="43"/>
      <c r="G67" s="43"/>
      <c r="H67" s="43"/>
      <c r="I67" s="43"/>
    </row>
    <row r="68" spans="1:9" x14ac:dyDescent="0.3">
      <c r="A68" s="40"/>
      <c r="B68" s="41"/>
      <c r="C68" s="42"/>
      <c r="D68" s="40"/>
      <c r="E68" s="40"/>
      <c r="F68" s="43"/>
      <c r="G68" s="43"/>
      <c r="H68" s="43"/>
      <c r="I68" s="43"/>
    </row>
    <row r="69" spans="1:9" x14ac:dyDescent="0.3">
      <c r="A69" s="40"/>
      <c r="B69" s="44"/>
      <c r="C69" s="44"/>
      <c r="D69" s="44"/>
      <c r="E69" s="44"/>
      <c r="F69" s="45"/>
      <c r="G69" s="43"/>
      <c r="H69" s="43"/>
      <c r="I69" s="43"/>
    </row>
    <row r="70" spans="1:9" x14ac:dyDescent="0.3">
      <c r="A70" s="40"/>
      <c r="B70" s="41"/>
      <c r="C70" s="42"/>
      <c r="D70" s="40"/>
      <c r="E70" s="40"/>
      <c r="F70" s="43"/>
      <c r="G70" s="43"/>
      <c r="H70" s="43"/>
      <c r="I70" s="43"/>
    </row>
    <row r="71" spans="1:9" x14ac:dyDescent="0.3">
      <c r="A71" s="40"/>
      <c r="B71" s="41"/>
      <c r="C71" s="42"/>
      <c r="D71" s="40"/>
      <c r="E71" s="40"/>
      <c r="F71" s="43"/>
      <c r="G71" s="43"/>
      <c r="H71" s="43"/>
      <c r="I71" s="43"/>
    </row>
    <row r="72" spans="1:9" x14ac:dyDescent="0.3">
      <c r="A72" s="40"/>
      <c r="B72" s="41"/>
      <c r="C72" s="42"/>
      <c r="D72" s="40"/>
      <c r="E72" s="40"/>
      <c r="F72" s="43"/>
      <c r="G72" s="43"/>
      <c r="H72" s="43"/>
      <c r="I72" s="43"/>
    </row>
    <row r="73" spans="1:9" x14ac:dyDescent="0.3">
      <c r="A73" s="40"/>
      <c r="B73" s="41"/>
      <c r="C73" s="42"/>
      <c r="D73" s="40"/>
      <c r="E73" s="40"/>
      <c r="F73" s="43"/>
      <c r="G73" s="43"/>
      <c r="H73" s="43"/>
      <c r="I73" s="43"/>
    </row>
    <row r="74" spans="1:9" x14ac:dyDescent="0.3">
      <c r="A74" s="40"/>
      <c r="B74" s="41"/>
      <c r="C74" s="42"/>
      <c r="D74" s="40"/>
      <c r="E74" s="40"/>
      <c r="F74" s="43"/>
      <c r="G74" s="43"/>
      <c r="H74" s="43"/>
      <c r="I74" s="43"/>
    </row>
    <row r="75" spans="1:9" x14ac:dyDescent="0.3">
      <c r="A75" s="40"/>
      <c r="B75" s="44"/>
      <c r="C75" s="44"/>
      <c r="D75" s="44"/>
      <c r="E75" s="44"/>
      <c r="F75" s="43"/>
      <c r="G75" s="43"/>
      <c r="H75" s="43"/>
      <c r="I75" s="43"/>
    </row>
    <row r="76" spans="1:9" x14ac:dyDescent="0.3">
      <c r="A76" s="40"/>
      <c r="B76" s="41"/>
      <c r="C76" s="42"/>
      <c r="D76" s="40"/>
      <c r="E76" s="40"/>
      <c r="F76" s="43"/>
      <c r="G76" s="43"/>
      <c r="H76" s="43"/>
      <c r="I76" s="43"/>
    </row>
    <row r="77" spans="1:9" x14ac:dyDescent="0.3">
      <c r="A77" s="40"/>
      <c r="B77" s="41"/>
      <c r="C77" s="42"/>
      <c r="D77" s="40"/>
      <c r="E77" s="40"/>
      <c r="F77" s="43"/>
      <c r="G77" s="43"/>
      <c r="H77" s="43"/>
      <c r="I77" s="43"/>
    </row>
    <row r="78" spans="1:9" x14ac:dyDescent="0.3">
      <c r="A78" s="40"/>
      <c r="B78" s="41"/>
      <c r="C78" s="42"/>
      <c r="D78" s="40"/>
      <c r="E78" s="40"/>
      <c r="F78" s="43"/>
      <c r="G78" s="43"/>
      <c r="H78" s="43"/>
      <c r="I78" s="43"/>
    </row>
    <row r="79" spans="1:9" x14ac:dyDescent="0.3">
      <c r="A79" s="40"/>
      <c r="B79" s="41"/>
      <c r="C79" s="42"/>
      <c r="D79" s="40"/>
      <c r="E79" s="40"/>
      <c r="F79" s="43"/>
      <c r="G79" s="43"/>
      <c r="H79" s="43"/>
      <c r="I79" s="43"/>
    </row>
    <row r="80" spans="1:9" x14ac:dyDescent="0.3">
      <c r="A80" s="40"/>
      <c r="B80" s="44"/>
      <c r="C80" s="44"/>
      <c r="D80" s="44"/>
      <c r="E80" s="44"/>
      <c r="F80" s="43"/>
      <c r="G80" s="43"/>
      <c r="H80" s="43"/>
      <c r="I80" s="43"/>
    </row>
    <row r="81" spans="1:9" x14ac:dyDescent="0.3">
      <c r="A81" s="44"/>
      <c r="B81" s="44"/>
      <c r="C81" s="44"/>
      <c r="D81" s="44"/>
      <c r="E81" s="44"/>
      <c r="F81" s="44"/>
      <c r="G81" s="44"/>
      <c r="H81" s="44"/>
      <c r="I81" s="4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0E4F-329F-4C64-833A-042A5820FC2F}">
  <dimension ref="A1:E57"/>
  <sheetViews>
    <sheetView topLeftCell="A40" workbookViewId="0">
      <selection activeCell="C62" sqref="C62"/>
    </sheetView>
  </sheetViews>
  <sheetFormatPr baseColWidth="10" defaultRowHeight="14.4" x14ac:dyDescent="0.3"/>
  <cols>
    <col min="3" max="3" width="24.21875" bestFit="1" customWidth="1"/>
    <col min="4" max="4" width="9" bestFit="1" customWidth="1"/>
    <col min="5" max="5" width="8.109375" bestFit="1" customWidth="1"/>
  </cols>
  <sheetData>
    <row r="1" spans="1:5" ht="43.2" x14ac:dyDescent="0.3">
      <c r="A1" s="8" t="s">
        <v>174</v>
      </c>
      <c r="B1" s="15" t="s">
        <v>175</v>
      </c>
      <c r="C1" s="15" t="s">
        <v>6</v>
      </c>
      <c r="D1" s="15" t="s">
        <v>1</v>
      </c>
      <c r="E1" s="15" t="s">
        <v>98</v>
      </c>
    </row>
    <row r="2" spans="1:5" x14ac:dyDescent="0.3">
      <c r="A2" s="10">
        <v>1</v>
      </c>
      <c r="B2" s="8">
        <v>69</v>
      </c>
      <c r="C2" s="12" t="s">
        <v>99</v>
      </c>
      <c r="D2" s="8">
        <v>1</v>
      </c>
      <c r="E2" s="9">
        <v>46194.616968634262</v>
      </c>
    </row>
    <row r="3" spans="1:5" x14ac:dyDescent="0.3">
      <c r="A3" s="10">
        <v>2</v>
      </c>
      <c r="B3" s="8">
        <v>67</v>
      </c>
      <c r="C3" s="12" t="s">
        <v>49</v>
      </c>
      <c r="D3" s="8">
        <v>1</v>
      </c>
      <c r="E3" s="9">
        <v>46194.617292939816</v>
      </c>
    </row>
    <row r="4" spans="1:5" x14ac:dyDescent="0.3">
      <c r="A4" s="10">
        <v>3</v>
      </c>
      <c r="B4" s="8">
        <v>68</v>
      </c>
      <c r="C4" s="12" t="s">
        <v>84</v>
      </c>
      <c r="D4" s="8">
        <v>1</v>
      </c>
      <c r="E4" s="9">
        <v>46194.617766435185</v>
      </c>
    </row>
    <row r="5" spans="1:5" x14ac:dyDescent="0.3">
      <c r="A5" s="10">
        <v>4</v>
      </c>
      <c r="B5" s="8">
        <v>1</v>
      </c>
      <c r="C5" s="12" t="s">
        <v>34</v>
      </c>
      <c r="D5" s="8">
        <v>2</v>
      </c>
      <c r="E5" s="9">
        <v>46194.617784374997</v>
      </c>
    </row>
    <row r="6" spans="1:5" x14ac:dyDescent="0.3">
      <c r="A6" s="10">
        <v>5</v>
      </c>
      <c r="B6" s="8">
        <v>63</v>
      </c>
      <c r="C6" s="12" t="s">
        <v>94</v>
      </c>
      <c r="D6" s="8">
        <v>1</v>
      </c>
      <c r="E6" s="9">
        <v>46194.618683449073</v>
      </c>
    </row>
    <row r="7" spans="1:5" x14ac:dyDescent="0.3">
      <c r="A7" s="10">
        <v>6</v>
      </c>
      <c r="B7" s="8">
        <v>30</v>
      </c>
      <c r="C7" s="12" t="s">
        <v>96</v>
      </c>
      <c r="D7" s="8" t="s">
        <v>37</v>
      </c>
      <c r="E7" s="9">
        <v>46194.618692361109</v>
      </c>
    </row>
    <row r="8" spans="1:5" x14ac:dyDescent="0.3">
      <c r="A8" s="10">
        <v>7</v>
      </c>
      <c r="B8" s="8">
        <v>3</v>
      </c>
      <c r="C8" s="12" t="s">
        <v>17</v>
      </c>
      <c r="D8" s="8">
        <v>2</v>
      </c>
      <c r="E8" s="9">
        <v>46194.618718055557</v>
      </c>
    </row>
    <row r="9" spans="1:5" x14ac:dyDescent="0.3">
      <c r="A9" s="10">
        <v>8</v>
      </c>
      <c r="B9" s="8">
        <v>21</v>
      </c>
      <c r="C9" s="12" t="s">
        <v>92</v>
      </c>
      <c r="D9" s="8" t="s">
        <v>32</v>
      </c>
      <c r="E9" s="9">
        <v>46194.618779166667</v>
      </c>
    </row>
    <row r="10" spans="1:5" x14ac:dyDescent="0.3">
      <c r="A10" s="10">
        <v>9</v>
      </c>
      <c r="B10" s="8">
        <v>64</v>
      </c>
      <c r="C10" s="12" t="s">
        <v>75</v>
      </c>
      <c r="D10" s="8">
        <v>1</v>
      </c>
      <c r="E10" s="9">
        <v>46194.618803124999</v>
      </c>
    </row>
    <row r="11" spans="1:5" x14ac:dyDescent="0.3">
      <c r="A11" s="10">
        <v>10</v>
      </c>
      <c r="B11" s="8">
        <v>28</v>
      </c>
      <c r="C11" s="12" t="s">
        <v>87</v>
      </c>
      <c r="D11" s="8" t="s">
        <v>37</v>
      </c>
      <c r="E11" s="9">
        <v>46194.618814930553</v>
      </c>
    </row>
    <row r="12" spans="1:5" x14ac:dyDescent="0.3">
      <c r="A12" s="10">
        <v>11</v>
      </c>
      <c r="B12" s="8">
        <v>20</v>
      </c>
      <c r="C12" s="12" t="s">
        <v>89</v>
      </c>
      <c r="D12" s="8" t="s">
        <v>32</v>
      </c>
      <c r="E12" s="9">
        <v>46194.618935416664</v>
      </c>
    </row>
    <row r="13" spans="1:5" x14ac:dyDescent="0.3">
      <c r="A13" s="10">
        <v>12</v>
      </c>
      <c r="B13" s="8">
        <v>17</v>
      </c>
      <c r="C13" s="12" t="s">
        <v>12</v>
      </c>
      <c r="D13" s="8" t="s">
        <v>32</v>
      </c>
      <c r="E13" s="9">
        <v>46194.618988657407</v>
      </c>
    </row>
    <row r="14" spans="1:5" x14ac:dyDescent="0.3">
      <c r="A14" s="10">
        <v>13</v>
      </c>
      <c r="B14" s="8">
        <v>51</v>
      </c>
      <c r="C14" s="12" t="s">
        <v>16</v>
      </c>
      <c r="D14" s="8">
        <v>2</v>
      </c>
      <c r="E14" s="9">
        <v>46194.619237500003</v>
      </c>
    </row>
    <row r="15" spans="1:5" x14ac:dyDescent="0.3">
      <c r="A15" s="10">
        <v>14</v>
      </c>
      <c r="B15" s="8">
        <v>65</v>
      </c>
      <c r="C15" s="12" t="s">
        <v>14</v>
      </c>
      <c r="D15" s="8">
        <v>1</v>
      </c>
      <c r="E15" s="9">
        <v>46194.619693055552</v>
      </c>
    </row>
    <row r="16" spans="1:5" x14ac:dyDescent="0.3">
      <c r="A16" s="10">
        <v>15</v>
      </c>
      <c r="B16" s="8">
        <v>58</v>
      </c>
      <c r="C16" s="12" t="s">
        <v>33</v>
      </c>
      <c r="D16" s="8">
        <v>2</v>
      </c>
      <c r="E16" s="9">
        <v>46194.619811226854</v>
      </c>
    </row>
    <row r="17" spans="1:5" x14ac:dyDescent="0.3">
      <c r="A17" s="10">
        <v>16</v>
      </c>
      <c r="B17" s="8">
        <v>82</v>
      </c>
      <c r="C17" s="12" t="s">
        <v>35</v>
      </c>
      <c r="D17" s="8">
        <v>2</v>
      </c>
      <c r="E17" s="9">
        <v>46194.619898842589</v>
      </c>
    </row>
    <row r="18" spans="1:5" x14ac:dyDescent="0.3">
      <c r="A18" s="10">
        <v>17</v>
      </c>
      <c r="B18" s="8">
        <v>55</v>
      </c>
      <c r="C18" s="12" t="s">
        <v>69</v>
      </c>
      <c r="D18" s="8">
        <v>2</v>
      </c>
      <c r="E18" s="9">
        <v>46194.619975347225</v>
      </c>
    </row>
    <row r="19" spans="1:5" x14ac:dyDescent="0.3">
      <c r="A19" s="10">
        <v>18</v>
      </c>
      <c r="B19" s="8">
        <v>57</v>
      </c>
      <c r="C19" s="12" t="s">
        <v>72</v>
      </c>
      <c r="D19" s="8">
        <v>2</v>
      </c>
      <c r="E19" s="9">
        <v>46194.620254745372</v>
      </c>
    </row>
    <row r="20" spans="1:5" x14ac:dyDescent="0.3">
      <c r="A20" s="10">
        <v>19</v>
      </c>
      <c r="B20" s="8">
        <v>53</v>
      </c>
      <c r="C20" s="12" t="s">
        <v>91</v>
      </c>
      <c r="D20" s="8">
        <v>2</v>
      </c>
      <c r="E20" s="9">
        <v>46194.620320601854</v>
      </c>
    </row>
    <row r="21" spans="1:5" x14ac:dyDescent="0.3">
      <c r="A21" s="10">
        <v>20</v>
      </c>
      <c r="B21" s="8">
        <v>79</v>
      </c>
      <c r="C21" s="12" t="s">
        <v>22</v>
      </c>
      <c r="D21" s="8">
        <v>3</v>
      </c>
      <c r="E21" s="9">
        <v>46194.620365740739</v>
      </c>
    </row>
    <row r="22" spans="1:5" x14ac:dyDescent="0.3">
      <c r="A22" s="10">
        <v>21</v>
      </c>
      <c r="B22" s="8">
        <v>19</v>
      </c>
      <c r="C22" s="12" t="s">
        <v>42</v>
      </c>
      <c r="D22" s="8" t="s">
        <v>32</v>
      </c>
      <c r="E22" s="9">
        <v>46194.620442245374</v>
      </c>
    </row>
    <row r="23" spans="1:5" x14ac:dyDescent="0.3">
      <c r="A23" s="10">
        <v>22</v>
      </c>
      <c r="B23" s="8">
        <v>13</v>
      </c>
      <c r="C23" s="12" t="s">
        <v>83</v>
      </c>
      <c r="D23" s="8" t="s">
        <v>44</v>
      </c>
      <c r="E23" s="9">
        <v>46194.620453819443</v>
      </c>
    </row>
    <row r="24" spans="1:5" x14ac:dyDescent="0.3">
      <c r="A24" s="10">
        <v>23</v>
      </c>
      <c r="B24" s="8">
        <v>32</v>
      </c>
      <c r="C24" s="12" t="s">
        <v>103</v>
      </c>
      <c r="D24" s="8" t="s">
        <v>37</v>
      </c>
      <c r="E24" s="9">
        <v>46194.620469444446</v>
      </c>
    </row>
    <row r="25" spans="1:5" x14ac:dyDescent="0.3">
      <c r="A25" s="10">
        <v>24</v>
      </c>
      <c r="B25" s="8">
        <v>59</v>
      </c>
      <c r="C25" s="12" t="s">
        <v>74</v>
      </c>
      <c r="D25" s="8">
        <v>2</v>
      </c>
      <c r="E25" s="9">
        <v>46194.620627199074</v>
      </c>
    </row>
    <row r="26" spans="1:5" x14ac:dyDescent="0.3">
      <c r="A26" s="10">
        <v>25</v>
      </c>
      <c r="B26" s="8">
        <v>18</v>
      </c>
      <c r="C26" s="12" t="s">
        <v>11</v>
      </c>
      <c r="D26" s="8" t="s">
        <v>32</v>
      </c>
      <c r="E26" s="9">
        <v>46194.620778819444</v>
      </c>
    </row>
    <row r="27" spans="1:5" x14ac:dyDescent="0.3">
      <c r="A27" s="10">
        <v>26</v>
      </c>
      <c r="B27" s="8">
        <v>47</v>
      </c>
      <c r="C27" s="12" t="s">
        <v>19</v>
      </c>
      <c r="D27" s="8">
        <v>3</v>
      </c>
      <c r="E27" s="9">
        <v>46194.620995949073</v>
      </c>
    </row>
    <row r="28" spans="1:5" x14ac:dyDescent="0.3">
      <c r="A28" s="10">
        <v>27</v>
      </c>
      <c r="B28" s="8">
        <v>78</v>
      </c>
      <c r="C28" s="12" t="s">
        <v>18</v>
      </c>
      <c r="D28" s="8">
        <v>3</v>
      </c>
      <c r="E28" s="9">
        <v>46194.621286921298</v>
      </c>
    </row>
    <row r="29" spans="1:5" x14ac:dyDescent="0.3">
      <c r="A29" s="10">
        <v>28</v>
      </c>
      <c r="B29" s="8">
        <v>80</v>
      </c>
      <c r="C29" s="12" t="s">
        <v>36</v>
      </c>
      <c r="D29" s="8">
        <v>3</v>
      </c>
      <c r="E29" s="9">
        <v>46194.621555324076</v>
      </c>
    </row>
    <row r="30" spans="1:5" x14ac:dyDescent="0.3">
      <c r="A30" s="10">
        <v>29</v>
      </c>
      <c r="B30" s="8">
        <v>2</v>
      </c>
      <c r="C30" s="12" t="s">
        <v>13</v>
      </c>
      <c r="D30" s="8">
        <v>1</v>
      </c>
      <c r="E30" s="9">
        <v>46194.62156446759</v>
      </c>
    </row>
    <row r="31" spans="1:5" x14ac:dyDescent="0.3">
      <c r="A31" s="10">
        <v>30</v>
      </c>
      <c r="B31" s="8">
        <v>39</v>
      </c>
      <c r="C31" s="12" t="s">
        <v>57</v>
      </c>
      <c r="D31" s="8">
        <v>3</v>
      </c>
      <c r="E31" s="9">
        <v>46194.621667939813</v>
      </c>
    </row>
    <row r="32" spans="1:5" x14ac:dyDescent="0.3">
      <c r="A32" s="10">
        <v>31</v>
      </c>
      <c r="B32" s="8">
        <v>44</v>
      </c>
      <c r="C32" s="12" t="s">
        <v>63</v>
      </c>
      <c r="D32" s="8">
        <v>3</v>
      </c>
      <c r="E32" s="9">
        <v>46194.621737731482</v>
      </c>
    </row>
    <row r="33" spans="1:5" x14ac:dyDescent="0.3">
      <c r="A33" s="10">
        <v>32</v>
      </c>
      <c r="B33" s="8">
        <v>56</v>
      </c>
      <c r="C33" s="12" t="s">
        <v>71</v>
      </c>
      <c r="D33" s="8">
        <v>2</v>
      </c>
      <c r="E33" s="9">
        <v>46194.621785185183</v>
      </c>
    </row>
    <row r="34" spans="1:5" x14ac:dyDescent="0.3">
      <c r="A34" s="10">
        <v>33</v>
      </c>
      <c r="B34" s="8">
        <v>41</v>
      </c>
      <c r="C34" s="12" t="s">
        <v>59</v>
      </c>
      <c r="D34" s="8">
        <v>3</v>
      </c>
      <c r="E34" s="9">
        <v>46194.621923611114</v>
      </c>
    </row>
    <row r="35" spans="1:5" x14ac:dyDescent="0.3">
      <c r="A35" s="10">
        <v>34</v>
      </c>
      <c r="B35" s="8">
        <v>42</v>
      </c>
      <c r="C35" s="12" t="s">
        <v>61</v>
      </c>
      <c r="D35" s="8">
        <v>3</v>
      </c>
      <c r="E35" s="9">
        <v>46194.622069675926</v>
      </c>
    </row>
    <row r="36" spans="1:5" x14ac:dyDescent="0.3">
      <c r="A36" s="10">
        <v>35</v>
      </c>
      <c r="B36" s="8">
        <v>16</v>
      </c>
      <c r="C36" s="12" t="s">
        <v>100</v>
      </c>
      <c r="D36" s="8" t="s">
        <v>44</v>
      </c>
      <c r="E36" s="9">
        <v>46194.622242129626</v>
      </c>
    </row>
    <row r="37" spans="1:5" x14ac:dyDescent="0.3">
      <c r="A37" s="10">
        <v>36</v>
      </c>
      <c r="B37" s="8">
        <v>81</v>
      </c>
      <c r="C37" s="12" t="s">
        <v>20</v>
      </c>
      <c r="D37" s="8">
        <v>3</v>
      </c>
      <c r="E37" s="9">
        <v>46194.62254074074</v>
      </c>
    </row>
    <row r="38" spans="1:5" x14ac:dyDescent="0.3">
      <c r="A38" s="10">
        <v>37</v>
      </c>
      <c r="B38" s="8">
        <v>46</v>
      </c>
      <c r="C38" s="12" t="s">
        <v>65</v>
      </c>
      <c r="D38" s="8">
        <v>3</v>
      </c>
      <c r="E38" s="9">
        <v>46194.622832986111</v>
      </c>
    </row>
    <row r="39" spans="1:5" x14ac:dyDescent="0.3">
      <c r="A39" s="10">
        <v>38</v>
      </c>
      <c r="B39" s="8">
        <v>77</v>
      </c>
      <c r="C39" s="12" t="s">
        <v>58</v>
      </c>
      <c r="D39" s="8">
        <v>3</v>
      </c>
      <c r="E39" s="9">
        <v>46194.622946875003</v>
      </c>
    </row>
    <row r="40" spans="1:5" x14ac:dyDescent="0.3">
      <c r="A40" s="10">
        <v>39</v>
      </c>
      <c r="B40" s="8">
        <v>73</v>
      </c>
      <c r="C40" s="12" t="s">
        <v>101</v>
      </c>
      <c r="D40" s="8">
        <v>4</v>
      </c>
      <c r="E40" s="9">
        <v>46194.622972685182</v>
      </c>
    </row>
    <row r="41" spans="1:5" x14ac:dyDescent="0.3">
      <c r="A41" s="10">
        <v>40</v>
      </c>
      <c r="B41" s="8">
        <v>23</v>
      </c>
      <c r="C41" s="12" t="s">
        <v>31</v>
      </c>
      <c r="D41" s="8" t="s">
        <v>37</v>
      </c>
      <c r="E41" s="9">
        <v>46194.623081597223</v>
      </c>
    </row>
    <row r="42" spans="1:5" x14ac:dyDescent="0.3">
      <c r="A42" s="10">
        <v>41</v>
      </c>
      <c r="B42" s="8">
        <v>4</v>
      </c>
      <c r="C42" s="12" t="s">
        <v>24</v>
      </c>
      <c r="D42" s="8">
        <v>3</v>
      </c>
      <c r="E42" s="9">
        <v>46194.623124768521</v>
      </c>
    </row>
    <row r="43" spans="1:5" x14ac:dyDescent="0.3">
      <c r="A43" s="10">
        <v>42</v>
      </c>
      <c r="B43" s="8">
        <v>76</v>
      </c>
      <c r="C43" s="12" t="s">
        <v>53</v>
      </c>
      <c r="D43" s="8">
        <v>4</v>
      </c>
      <c r="E43" s="9">
        <v>46194.623146990743</v>
      </c>
    </row>
    <row r="44" spans="1:5" x14ac:dyDescent="0.3">
      <c r="A44" s="10">
        <v>43</v>
      </c>
      <c r="B44" s="8">
        <v>12</v>
      </c>
      <c r="C44" s="12" t="s">
        <v>46</v>
      </c>
      <c r="D44" s="8" t="s">
        <v>44</v>
      </c>
      <c r="E44" s="9">
        <v>46194.62331909722</v>
      </c>
    </row>
    <row r="45" spans="1:5" x14ac:dyDescent="0.3">
      <c r="A45" s="10">
        <v>44</v>
      </c>
      <c r="B45" s="8">
        <v>52</v>
      </c>
      <c r="C45" s="12" t="s">
        <v>47</v>
      </c>
      <c r="D45" s="8">
        <v>2</v>
      </c>
      <c r="E45" s="9">
        <v>46194.623527083335</v>
      </c>
    </row>
    <row r="46" spans="1:5" x14ac:dyDescent="0.3">
      <c r="A46" s="10">
        <v>45</v>
      </c>
      <c r="B46" s="8">
        <v>43</v>
      </c>
      <c r="C46" s="12" t="s">
        <v>23</v>
      </c>
      <c r="D46" s="8">
        <v>3</v>
      </c>
      <c r="E46" s="9">
        <v>46194.62394247685</v>
      </c>
    </row>
    <row r="47" spans="1:5" x14ac:dyDescent="0.3">
      <c r="A47" s="10">
        <v>46</v>
      </c>
      <c r="B47" s="8">
        <v>37</v>
      </c>
      <c r="C47" s="12" t="s">
        <v>55</v>
      </c>
      <c r="D47" s="8">
        <v>3</v>
      </c>
      <c r="E47" s="9">
        <v>46194.624009375002</v>
      </c>
    </row>
    <row r="48" spans="1:5" x14ac:dyDescent="0.3">
      <c r="A48" s="10">
        <v>47</v>
      </c>
      <c r="B48" s="8">
        <v>7</v>
      </c>
      <c r="C48" s="12" t="s">
        <v>25</v>
      </c>
      <c r="D48" s="8">
        <v>4</v>
      </c>
      <c r="E48" s="9">
        <v>46194.624058333335</v>
      </c>
    </row>
    <row r="49" spans="1:5" x14ac:dyDescent="0.3">
      <c r="A49" s="10">
        <v>48</v>
      </c>
      <c r="B49" s="8">
        <v>60</v>
      </c>
      <c r="C49" s="12" t="s">
        <v>82</v>
      </c>
      <c r="D49" s="8">
        <v>2</v>
      </c>
      <c r="E49" s="9">
        <v>46194.624395601852</v>
      </c>
    </row>
    <row r="50" spans="1:5" x14ac:dyDescent="0.3">
      <c r="A50" s="10">
        <v>49</v>
      </c>
      <c r="B50" s="8">
        <v>27</v>
      </c>
      <c r="C50" s="12" t="s">
        <v>86</v>
      </c>
      <c r="D50" s="8" t="s">
        <v>37</v>
      </c>
      <c r="E50" s="9">
        <v>46194.624925925928</v>
      </c>
    </row>
    <row r="51" spans="1:5" x14ac:dyDescent="0.3">
      <c r="A51" s="10">
        <v>50</v>
      </c>
      <c r="B51" s="8">
        <v>31</v>
      </c>
      <c r="C51" s="12" t="s">
        <v>28</v>
      </c>
      <c r="D51" s="8" t="s">
        <v>37</v>
      </c>
      <c r="E51" s="9">
        <v>46194.625337962963</v>
      </c>
    </row>
    <row r="52" spans="1:5" x14ac:dyDescent="0.3">
      <c r="A52" s="10">
        <v>51</v>
      </c>
      <c r="B52" s="8">
        <v>15</v>
      </c>
      <c r="C52" s="12" t="s">
        <v>48</v>
      </c>
      <c r="D52" s="8" t="s">
        <v>44</v>
      </c>
      <c r="E52" s="9">
        <v>46194.626692245372</v>
      </c>
    </row>
    <row r="53" spans="1:5" x14ac:dyDescent="0.3">
      <c r="A53" s="10">
        <v>52</v>
      </c>
      <c r="B53" s="8">
        <v>14</v>
      </c>
      <c r="C53" s="12" t="s">
        <v>27</v>
      </c>
      <c r="D53" s="8" t="s">
        <v>44</v>
      </c>
      <c r="E53" s="9">
        <v>46194.627818287037</v>
      </c>
    </row>
    <row r="54" spans="1:5" x14ac:dyDescent="0.3">
      <c r="A54" s="10">
        <v>53</v>
      </c>
      <c r="B54" s="8">
        <v>83</v>
      </c>
      <c r="C54" s="12" t="s">
        <v>26</v>
      </c>
      <c r="D54" s="8">
        <v>4</v>
      </c>
      <c r="E54" s="9">
        <v>46194.628460532411</v>
      </c>
    </row>
    <row r="55" spans="1:5" x14ac:dyDescent="0.3">
      <c r="A55" s="10">
        <v>54</v>
      </c>
      <c r="B55" s="8">
        <v>24</v>
      </c>
      <c r="C55" s="12" t="s">
        <v>29</v>
      </c>
      <c r="D55" s="8" t="s">
        <v>37</v>
      </c>
      <c r="E55" s="9">
        <v>46194.628920138886</v>
      </c>
    </row>
    <row r="56" spans="1:5" x14ac:dyDescent="0.3">
      <c r="A56" s="10">
        <v>55</v>
      </c>
      <c r="B56" s="8">
        <v>11</v>
      </c>
      <c r="C56" s="12" t="s">
        <v>43</v>
      </c>
      <c r="D56" s="8" t="s">
        <v>44</v>
      </c>
      <c r="E56" s="9">
        <v>46194.631056481485</v>
      </c>
    </row>
    <row r="57" spans="1:5" x14ac:dyDescent="0.3">
      <c r="A57" s="10" t="s">
        <v>180</v>
      </c>
      <c r="B57" s="10">
        <v>5</v>
      </c>
      <c r="C57" s="12" t="s">
        <v>21</v>
      </c>
      <c r="D57" s="8">
        <v>3</v>
      </c>
      <c r="E57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491E-C371-4678-A4CB-F075E2C00B83}">
  <dimension ref="A1:F6"/>
  <sheetViews>
    <sheetView workbookViewId="0">
      <selection activeCell="C8" sqref="C8"/>
    </sheetView>
  </sheetViews>
  <sheetFormatPr baseColWidth="10" defaultRowHeight="14.4" x14ac:dyDescent="0.3"/>
  <cols>
    <col min="3" max="3" width="22.5546875" bestFit="1" customWidth="1"/>
    <col min="6" max="6" width="0" hidden="1" customWidth="1"/>
  </cols>
  <sheetData>
    <row r="1" spans="1:6" ht="43.2" x14ac:dyDescent="0.3">
      <c r="A1" s="15" t="s">
        <v>174</v>
      </c>
      <c r="B1" s="15" t="s">
        <v>177</v>
      </c>
      <c r="C1" s="15" t="s">
        <v>6</v>
      </c>
      <c r="D1" s="15" t="s">
        <v>1</v>
      </c>
      <c r="E1" s="15" t="s">
        <v>98</v>
      </c>
      <c r="F1" s="15" t="s">
        <v>9</v>
      </c>
    </row>
    <row r="2" spans="1:6" x14ac:dyDescent="0.3">
      <c r="A2" s="10">
        <v>1</v>
      </c>
      <c r="B2" s="8">
        <v>21</v>
      </c>
      <c r="C2" s="12" t="s">
        <v>92</v>
      </c>
      <c r="D2" s="8" t="s">
        <v>32</v>
      </c>
      <c r="E2" s="9">
        <v>46194.618779166667</v>
      </c>
      <c r="F2" s="9">
        <v>46194.013471874998</v>
      </c>
    </row>
    <row r="3" spans="1:6" x14ac:dyDescent="0.3">
      <c r="A3" s="10">
        <v>2</v>
      </c>
      <c r="B3" s="8">
        <v>20</v>
      </c>
      <c r="C3" s="12" t="s">
        <v>89</v>
      </c>
      <c r="D3" s="8" t="s">
        <v>32</v>
      </c>
      <c r="E3" s="9">
        <v>46194.618935416664</v>
      </c>
      <c r="F3" s="9">
        <v>46194.013491087957</v>
      </c>
    </row>
    <row r="4" spans="1:6" x14ac:dyDescent="0.3">
      <c r="A4" s="10">
        <v>3</v>
      </c>
      <c r="B4" s="8">
        <v>17</v>
      </c>
      <c r="C4" s="12" t="s">
        <v>12</v>
      </c>
      <c r="D4" s="8" t="s">
        <v>32</v>
      </c>
      <c r="E4" s="9">
        <v>46194.618988657407</v>
      </c>
      <c r="F4" s="9">
        <v>46194.013500810186</v>
      </c>
    </row>
    <row r="5" spans="1:6" x14ac:dyDescent="0.3">
      <c r="A5" s="10">
        <v>4</v>
      </c>
      <c r="B5" s="8">
        <v>19</v>
      </c>
      <c r="C5" s="12" t="s">
        <v>42</v>
      </c>
      <c r="D5" s="8" t="s">
        <v>32</v>
      </c>
      <c r="E5" s="9">
        <v>46194.620442245374</v>
      </c>
      <c r="F5" s="9">
        <v>46194.014778009259</v>
      </c>
    </row>
    <row r="6" spans="1:6" x14ac:dyDescent="0.3">
      <c r="A6" s="10">
        <v>5</v>
      </c>
      <c r="B6" s="8">
        <v>18</v>
      </c>
      <c r="C6" s="12" t="s">
        <v>11</v>
      </c>
      <c r="D6" s="8" t="s">
        <v>32</v>
      </c>
      <c r="E6" s="9">
        <v>46194.620778819444</v>
      </c>
      <c r="F6" s="9">
        <v>46194.014995717589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8406-0A40-4867-ADBA-EF6EEC16D414}">
  <dimension ref="A1:F7"/>
  <sheetViews>
    <sheetView topLeftCell="G1" workbookViewId="0"/>
  </sheetViews>
  <sheetFormatPr baseColWidth="10" defaultRowHeight="14.4" x14ac:dyDescent="0.3"/>
  <cols>
    <col min="2" max="3" width="18.109375" bestFit="1" customWidth="1"/>
  </cols>
  <sheetData>
    <row r="1" spans="1:6" ht="43.2" x14ac:dyDescent="0.3">
      <c r="A1" s="15" t="s">
        <v>174</v>
      </c>
      <c r="B1" s="15" t="s">
        <v>177</v>
      </c>
      <c r="C1" s="15" t="s">
        <v>6</v>
      </c>
      <c r="D1" s="15" t="s">
        <v>1</v>
      </c>
      <c r="E1" s="15" t="s">
        <v>98</v>
      </c>
      <c r="F1" s="15" t="s">
        <v>9</v>
      </c>
    </row>
    <row r="2" spans="1:6" x14ac:dyDescent="0.3">
      <c r="A2" s="10">
        <v>1</v>
      </c>
      <c r="B2" s="8">
        <v>13</v>
      </c>
      <c r="C2" s="12" t="s">
        <v>83</v>
      </c>
      <c r="D2" s="8" t="s">
        <v>44</v>
      </c>
      <c r="E2" s="9">
        <v>46194.620453819443</v>
      </c>
      <c r="F2" s="9">
        <v>46194.014744212967</v>
      </c>
    </row>
    <row r="3" spans="1:6" x14ac:dyDescent="0.3">
      <c r="A3" s="10">
        <v>2</v>
      </c>
      <c r="B3" s="8">
        <v>16</v>
      </c>
      <c r="C3" s="12" t="s">
        <v>100</v>
      </c>
      <c r="D3" s="8" t="s">
        <v>44</v>
      </c>
      <c r="E3" s="9">
        <v>46194.622242129626</v>
      </c>
      <c r="F3" s="9">
        <v>46194.016086921292</v>
      </c>
    </row>
    <row r="4" spans="1:6" x14ac:dyDescent="0.3">
      <c r="A4" s="10">
        <v>3</v>
      </c>
      <c r="B4" s="8">
        <v>12</v>
      </c>
      <c r="C4" s="12" t="s">
        <v>46</v>
      </c>
      <c r="D4" s="8" t="s">
        <v>44</v>
      </c>
      <c r="E4" s="9">
        <v>46194.62331909722</v>
      </c>
      <c r="F4" s="9">
        <v>46194.016887731479</v>
      </c>
    </row>
    <row r="5" spans="1:6" x14ac:dyDescent="0.3">
      <c r="A5" s="10">
        <v>4</v>
      </c>
      <c r="B5" s="8">
        <v>15</v>
      </c>
      <c r="C5" s="12" t="s">
        <v>48</v>
      </c>
      <c r="D5" s="8" t="s">
        <v>44</v>
      </c>
      <c r="E5" s="9">
        <v>46194.626692245372</v>
      </c>
      <c r="F5" s="9">
        <v>46194.019650115741</v>
      </c>
    </row>
    <row r="6" spans="1:6" x14ac:dyDescent="0.3">
      <c r="A6" s="10">
        <v>5</v>
      </c>
      <c r="B6" s="8">
        <v>14</v>
      </c>
      <c r="C6" s="12" t="s">
        <v>27</v>
      </c>
      <c r="D6" s="8" t="s">
        <v>44</v>
      </c>
      <c r="E6" s="9">
        <v>46194.627818287037</v>
      </c>
      <c r="F6" s="9">
        <v>46194.020715509258</v>
      </c>
    </row>
    <row r="7" spans="1:6" x14ac:dyDescent="0.3">
      <c r="A7" s="10">
        <v>6</v>
      </c>
      <c r="B7" s="8">
        <v>11</v>
      </c>
      <c r="C7" s="12" t="s">
        <v>43</v>
      </c>
      <c r="D7" s="8" t="s">
        <v>44</v>
      </c>
      <c r="E7" s="9">
        <v>46194.631056481485</v>
      </c>
      <c r="F7" s="9">
        <v>46194.023156712967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325B-FBE3-48F0-A4FD-2CB7DC5AB7FC}">
  <dimension ref="A1:F5"/>
  <sheetViews>
    <sheetView workbookViewId="0"/>
  </sheetViews>
  <sheetFormatPr baseColWidth="10" defaultRowHeight="14.4" x14ac:dyDescent="0.3"/>
  <cols>
    <col min="2" max="2" width="12.33203125" bestFit="1" customWidth="1"/>
    <col min="3" max="3" width="18.5546875" bestFit="1" customWidth="1"/>
    <col min="5" max="5" width="0" hidden="1" customWidth="1"/>
  </cols>
  <sheetData>
    <row r="1" spans="1:6" ht="43.2" x14ac:dyDescent="0.3">
      <c r="A1" s="15" t="s">
        <v>174</v>
      </c>
      <c r="B1" s="15" t="s">
        <v>178</v>
      </c>
      <c r="C1" s="15" t="s">
        <v>6</v>
      </c>
      <c r="D1" s="15" t="s">
        <v>1</v>
      </c>
      <c r="E1" s="15" t="s">
        <v>98</v>
      </c>
      <c r="F1" s="15" t="s">
        <v>9</v>
      </c>
    </row>
    <row r="2" spans="1:6" x14ac:dyDescent="0.3">
      <c r="A2" s="10">
        <v>1</v>
      </c>
      <c r="B2" s="8">
        <v>73</v>
      </c>
      <c r="C2" s="12" t="s">
        <v>116</v>
      </c>
      <c r="D2" s="8">
        <v>4</v>
      </c>
      <c r="E2" s="9">
        <v>46194.622972685182</v>
      </c>
      <c r="F2" s="9">
        <v>46194.016740393512</v>
      </c>
    </row>
    <row r="3" spans="1:6" x14ac:dyDescent="0.3">
      <c r="A3" s="10">
        <v>2</v>
      </c>
      <c r="B3" s="8">
        <v>76</v>
      </c>
      <c r="C3" s="12" t="s">
        <v>53</v>
      </c>
      <c r="D3" s="8">
        <v>4</v>
      </c>
      <c r="E3" s="9">
        <v>46194.623146990743</v>
      </c>
      <c r="F3" s="9">
        <v>46194.016721412037</v>
      </c>
    </row>
    <row r="4" spans="1:6" x14ac:dyDescent="0.3">
      <c r="A4" s="10">
        <v>3</v>
      </c>
      <c r="B4" s="8">
        <v>7</v>
      </c>
      <c r="C4" s="12" t="s">
        <v>25</v>
      </c>
      <c r="D4" s="8">
        <v>4</v>
      </c>
      <c r="E4" s="9">
        <v>46194.624058333335</v>
      </c>
      <c r="F4" s="9">
        <v>46194.017361921295</v>
      </c>
    </row>
    <row r="5" spans="1:6" x14ac:dyDescent="0.3">
      <c r="A5" s="10">
        <v>4</v>
      </c>
      <c r="B5" s="8">
        <v>83</v>
      </c>
      <c r="C5" s="12" t="s">
        <v>26</v>
      </c>
      <c r="D5" s="8">
        <v>4</v>
      </c>
      <c r="E5" s="9">
        <v>46194.628460532411</v>
      </c>
      <c r="F5" s="9">
        <v>46194.021237731482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15ED-2988-4D84-8E36-1F24846E14C5}">
  <dimension ref="A1:F15"/>
  <sheetViews>
    <sheetView workbookViewId="0"/>
  </sheetViews>
  <sheetFormatPr baseColWidth="10" defaultRowHeight="14.4" x14ac:dyDescent="0.3"/>
  <cols>
    <col min="3" max="3" width="24.21875" bestFit="1" customWidth="1"/>
    <col min="6" max="6" width="0" hidden="1" customWidth="1"/>
  </cols>
  <sheetData>
    <row r="1" spans="1:6" ht="43.2" x14ac:dyDescent="0.3">
      <c r="A1" s="15" t="s">
        <v>174</v>
      </c>
      <c r="B1" s="15" t="s">
        <v>175</v>
      </c>
      <c r="C1" s="15" t="s">
        <v>6</v>
      </c>
      <c r="D1" s="15" t="s">
        <v>1</v>
      </c>
      <c r="E1" s="15" t="s">
        <v>98</v>
      </c>
      <c r="F1" s="15" t="s">
        <v>9</v>
      </c>
    </row>
    <row r="2" spans="1:6" x14ac:dyDescent="0.3">
      <c r="A2" s="10">
        <v>1</v>
      </c>
      <c r="B2" s="8">
        <v>79</v>
      </c>
      <c r="C2" s="12" t="s">
        <v>22</v>
      </c>
      <c r="D2" s="8">
        <v>3</v>
      </c>
      <c r="E2" s="9">
        <v>46194.620365740739</v>
      </c>
      <c r="F2" s="9">
        <v>46194.014741898143</v>
      </c>
    </row>
    <row r="3" spans="1:6" x14ac:dyDescent="0.3">
      <c r="A3" s="10">
        <v>2</v>
      </c>
      <c r="B3" s="8">
        <v>47</v>
      </c>
      <c r="C3" s="12" t="s">
        <v>19</v>
      </c>
      <c r="D3" s="8">
        <v>3</v>
      </c>
      <c r="E3" s="9">
        <v>46194.620995949073</v>
      </c>
      <c r="F3" s="9">
        <v>46194.015088541666</v>
      </c>
    </row>
    <row r="4" spans="1:6" x14ac:dyDescent="0.3">
      <c r="A4" s="10">
        <v>3</v>
      </c>
      <c r="B4" s="8">
        <v>78</v>
      </c>
      <c r="C4" s="12" t="s">
        <v>18</v>
      </c>
      <c r="D4" s="8">
        <v>3</v>
      </c>
      <c r="E4" s="9">
        <v>46194.621286921298</v>
      </c>
      <c r="F4" s="9">
        <v>46194.015374652779</v>
      </c>
    </row>
    <row r="5" spans="1:6" x14ac:dyDescent="0.3">
      <c r="A5" s="10">
        <v>4</v>
      </c>
      <c r="B5" s="8">
        <v>80</v>
      </c>
      <c r="C5" s="12" t="s">
        <v>36</v>
      </c>
      <c r="D5" s="8">
        <v>3</v>
      </c>
      <c r="E5" s="9">
        <v>46194.621555324076</v>
      </c>
      <c r="F5" s="9">
        <v>46194.015638657409</v>
      </c>
    </row>
    <row r="6" spans="1:6" x14ac:dyDescent="0.3">
      <c r="A6" s="10">
        <v>5</v>
      </c>
      <c r="B6" s="8">
        <v>39</v>
      </c>
      <c r="C6" s="12" t="s">
        <v>57</v>
      </c>
      <c r="D6" s="8">
        <v>3</v>
      </c>
      <c r="E6" s="9">
        <v>46194.621667939813</v>
      </c>
      <c r="F6" s="9">
        <v>46194.015615277778</v>
      </c>
    </row>
    <row r="7" spans="1:6" x14ac:dyDescent="0.3">
      <c r="A7" s="10">
        <v>6</v>
      </c>
      <c r="B7" s="8">
        <v>44</v>
      </c>
      <c r="C7" s="12" t="s">
        <v>63</v>
      </c>
      <c r="D7" s="8">
        <v>3</v>
      </c>
      <c r="E7" s="9">
        <v>46194.621737731482</v>
      </c>
      <c r="F7" s="9">
        <v>46194.015641666672</v>
      </c>
    </row>
    <row r="8" spans="1:6" x14ac:dyDescent="0.3">
      <c r="A8" s="10">
        <v>7</v>
      </c>
      <c r="B8" s="8">
        <v>41</v>
      </c>
      <c r="C8" s="12" t="s">
        <v>59</v>
      </c>
      <c r="D8" s="8">
        <v>3</v>
      </c>
      <c r="E8" s="9">
        <v>46194.621923611114</v>
      </c>
      <c r="F8" s="9">
        <v>46194.015798842593</v>
      </c>
    </row>
    <row r="9" spans="1:6" x14ac:dyDescent="0.3">
      <c r="A9" s="10">
        <v>8</v>
      </c>
      <c r="B9" s="8">
        <v>42</v>
      </c>
      <c r="C9" s="12" t="s">
        <v>61</v>
      </c>
      <c r="D9" s="8">
        <v>3</v>
      </c>
      <c r="E9" s="9">
        <v>46194.622069675926</v>
      </c>
      <c r="F9" s="9">
        <v>46194.015927083332</v>
      </c>
    </row>
    <row r="10" spans="1:6" x14ac:dyDescent="0.3">
      <c r="A10" s="10">
        <v>9</v>
      </c>
      <c r="B10" s="8">
        <v>81</v>
      </c>
      <c r="C10" s="12" t="s">
        <v>20</v>
      </c>
      <c r="D10" s="8">
        <v>3</v>
      </c>
      <c r="E10" s="9">
        <v>46194.62254074074</v>
      </c>
      <c r="F10" s="9">
        <v>46194.016376736108</v>
      </c>
    </row>
    <row r="11" spans="1:6" x14ac:dyDescent="0.3">
      <c r="A11" s="10">
        <v>10</v>
      </c>
      <c r="B11" s="8">
        <v>46</v>
      </c>
      <c r="C11" s="12" t="s">
        <v>65</v>
      </c>
      <c r="D11" s="8">
        <v>3</v>
      </c>
      <c r="E11" s="9">
        <v>46194.622832986111</v>
      </c>
      <c r="F11" s="9">
        <v>46194.016651157406</v>
      </c>
    </row>
    <row r="12" spans="1:6" x14ac:dyDescent="0.3">
      <c r="A12" s="10">
        <v>11</v>
      </c>
      <c r="B12" s="8">
        <v>77</v>
      </c>
      <c r="C12" s="12" t="s">
        <v>58</v>
      </c>
      <c r="D12" s="8">
        <v>3</v>
      </c>
      <c r="E12" s="9">
        <v>46194.622946875003</v>
      </c>
      <c r="F12" s="9">
        <v>46194.016740162042</v>
      </c>
    </row>
    <row r="13" spans="1:6" x14ac:dyDescent="0.3">
      <c r="A13" s="10">
        <v>12</v>
      </c>
      <c r="B13" s="8">
        <v>4</v>
      </c>
      <c r="C13" s="12" t="s">
        <v>24</v>
      </c>
      <c r="D13" s="8">
        <v>3</v>
      </c>
      <c r="E13" s="9">
        <v>46194.623124768521</v>
      </c>
      <c r="F13" s="9">
        <v>46194.016701388886</v>
      </c>
    </row>
    <row r="14" spans="1:6" x14ac:dyDescent="0.3">
      <c r="A14" s="10">
        <v>13</v>
      </c>
      <c r="B14" s="8">
        <v>43</v>
      </c>
      <c r="C14" s="12" t="s">
        <v>23</v>
      </c>
      <c r="D14" s="8">
        <v>3</v>
      </c>
      <c r="E14" s="9">
        <v>46194.62394247685</v>
      </c>
      <c r="F14" s="9">
        <v>46194.017344328706</v>
      </c>
    </row>
    <row r="15" spans="1:6" x14ac:dyDescent="0.3">
      <c r="A15" s="10">
        <v>14</v>
      </c>
      <c r="B15" s="8">
        <v>37</v>
      </c>
      <c r="C15" s="12" t="s">
        <v>55</v>
      </c>
      <c r="D15" s="8">
        <v>3</v>
      </c>
      <c r="E15" s="9">
        <v>46194.624009375002</v>
      </c>
      <c r="F15" s="9">
        <v>46194.0173931713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62E3-AF4B-4C1E-8B5F-E2D8BC630EE9}">
  <dimension ref="A1:F13"/>
  <sheetViews>
    <sheetView workbookViewId="0">
      <selection activeCell="J19" sqref="J19"/>
    </sheetView>
  </sheetViews>
  <sheetFormatPr baseColWidth="10" defaultRowHeight="14.4" x14ac:dyDescent="0.3"/>
  <cols>
    <col min="3" max="3" width="20.77734375" bestFit="1" customWidth="1"/>
    <col min="6" max="6" width="0" hidden="1" customWidth="1"/>
  </cols>
  <sheetData>
    <row r="1" spans="1:6" ht="43.2" x14ac:dyDescent="0.3">
      <c r="A1" s="8" t="s">
        <v>174</v>
      </c>
      <c r="B1" s="15" t="s">
        <v>175</v>
      </c>
      <c r="C1" s="15" t="s">
        <v>6</v>
      </c>
      <c r="D1" s="15" t="s">
        <v>1</v>
      </c>
      <c r="E1" s="15" t="s">
        <v>98</v>
      </c>
      <c r="F1" s="15" t="s">
        <v>9</v>
      </c>
    </row>
    <row r="2" spans="1:6" x14ac:dyDescent="0.3">
      <c r="A2" s="10">
        <v>1</v>
      </c>
      <c r="B2" s="8">
        <v>1</v>
      </c>
      <c r="C2" s="12" t="s">
        <v>34</v>
      </c>
      <c r="D2" s="8">
        <v>2</v>
      </c>
      <c r="E2" s="9">
        <v>46194.617784374997</v>
      </c>
      <c r="F2" s="9">
        <v>46194.013020601844</v>
      </c>
    </row>
    <row r="3" spans="1:6" x14ac:dyDescent="0.3">
      <c r="A3" s="10">
        <v>2</v>
      </c>
      <c r="B3" s="8">
        <v>3</v>
      </c>
      <c r="C3" s="12" t="s">
        <v>17</v>
      </c>
      <c r="D3" s="8">
        <v>2</v>
      </c>
      <c r="E3" s="9">
        <v>46194.618718055557</v>
      </c>
      <c r="F3" s="9">
        <v>46194.013607870373</v>
      </c>
    </row>
    <row r="4" spans="1:6" x14ac:dyDescent="0.3">
      <c r="A4" s="10">
        <v>3</v>
      </c>
      <c r="B4" s="8">
        <v>51</v>
      </c>
      <c r="C4" s="12" t="s">
        <v>16</v>
      </c>
      <c r="D4" s="8">
        <v>2</v>
      </c>
      <c r="E4" s="9">
        <v>46194.619237500003</v>
      </c>
      <c r="F4" s="9">
        <v>46194.013739467591</v>
      </c>
    </row>
    <row r="5" spans="1:6" x14ac:dyDescent="0.3">
      <c r="A5" s="10">
        <v>4</v>
      </c>
      <c r="B5" s="8">
        <v>58</v>
      </c>
      <c r="C5" s="12" t="s">
        <v>33</v>
      </c>
      <c r="D5" s="8">
        <v>2</v>
      </c>
      <c r="E5" s="9">
        <v>46194.619811226854</v>
      </c>
      <c r="F5" s="9">
        <v>46194.014295833338</v>
      </c>
    </row>
    <row r="6" spans="1:6" x14ac:dyDescent="0.3">
      <c r="A6" s="10">
        <v>5</v>
      </c>
      <c r="B6" s="8">
        <v>82</v>
      </c>
      <c r="C6" s="12" t="s">
        <v>35</v>
      </c>
      <c r="D6" s="8">
        <v>2</v>
      </c>
      <c r="E6" s="9">
        <v>46194.619898842589</v>
      </c>
      <c r="F6" s="9">
        <v>46194.01438148148</v>
      </c>
    </row>
    <row r="7" spans="1:6" x14ac:dyDescent="0.3">
      <c r="A7" s="10">
        <v>6</v>
      </c>
      <c r="B7" s="8">
        <v>55</v>
      </c>
      <c r="C7" s="12" t="s">
        <v>69</v>
      </c>
      <c r="D7" s="8">
        <v>2</v>
      </c>
      <c r="E7" s="9">
        <v>46194.619975347225</v>
      </c>
      <c r="F7" s="9">
        <v>46194.014445023153</v>
      </c>
    </row>
    <row r="8" spans="1:6" x14ac:dyDescent="0.3">
      <c r="A8" s="10">
        <v>7</v>
      </c>
      <c r="B8" s="8">
        <v>57</v>
      </c>
      <c r="C8" s="12" t="s">
        <v>72</v>
      </c>
      <c r="D8" s="8">
        <v>2</v>
      </c>
      <c r="E8" s="9">
        <v>46194.620254745372</v>
      </c>
      <c r="F8" s="9">
        <v>46194.014714467594</v>
      </c>
    </row>
    <row r="9" spans="1:6" x14ac:dyDescent="0.3">
      <c r="A9" s="10">
        <v>8</v>
      </c>
      <c r="B9" s="8">
        <v>53</v>
      </c>
      <c r="C9" s="12" t="s">
        <v>91</v>
      </c>
      <c r="D9" s="8">
        <v>2</v>
      </c>
      <c r="E9" s="9">
        <v>46194.620320601854</v>
      </c>
      <c r="F9" s="9">
        <v>46194.014760648155</v>
      </c>
    </row>
    <row r="10" spans="1:6" x14ac:dyDescent="0.3">
      <c r="A10" s="10">
        <v>9</v>
      </c>
      <c r="B10" s="8">
        <v>59</v>
      </c>
      <c r="C10" s="12" t="s">
        <v>74</v>
      </c>
      <c r="D10" s="8">
        <v>2</v>
      </c>
      <c r="E10" s="9">
        <v>46194.620627199074</v>
      </c>
      <c r="F10" s="9">
        <v>46194.01485266204</v>
      </c>
    </row>
    <row r="11" spans="1:6" x14ac:dyDescent="0.3">
      <c r="A11" s="10">
        <v>10</v>
      </c>
      <c r="B11" s="8">
        <v>56</v>
      </c>
      <c r="C11" s="12" t="s">
        <v>71</v>
      </c>
      <c r="D11" s="8">
        <v>2</v>
      </c>
      <c r="E11" s="9">
        <v>46194.621785185183</v>
      </c>
      <c r="F11" s="9">
        <v>46194.015672222216</v>
      </c>
    </row>
    <row r="12" spans="1:6" x14ac:dyDescent="0.3">
      <c r="A12" s="10">
        <v>11</v>
      </c>
      <c r="B12" s="8">
        <v>52</v>
      </c>
      <c r="C12" s="12" t="s">
        <v>47</v>
      </c>
      <c r="D12" s="8">
        <v>2</v>
      </c>
      <c r="E12" s="9">
        <v>46194.623527083335</v>
      </c>
      <c r="F12" s="9">
        <v>46194.016994328711</v>
      </c>
    </row>
    <row r="13" spans="1:6" x14ac:dyDescent="0.3">
      <c r="A13" s="10">
        <v>12</v>
      </c>
      <c r="B13" s="8">
        <v>60</v>
      </c>
      <c r="C13" s="12" t="s">
        <v>82</v>
      </c>
      <c r="D13" s="8">
        <v>2</v>
      </c>
      <c r="E13" s="9">
        <v>46194.624395601852</v>
      </c>
      <c r="F13" s="9">
        <v>46194.017672337963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02CC-70CF-4488-820E-C41F605684C6}">
  <dimension ref="A1:F8"/>
  <sheetViews>
    <sheetView workbookViewId="0">
      <selection activeCell="F1" sqref="F1"/>
    </sheetView>
  </sheetViews>
  <sheetFormatPr baseColWidth="10" defaultRowHeight="14.4" x14ac:dyDescent="0.3"/>
  <cols>
    <col min="2" max="3" width="16.5546875" bestFit="1" customWidth="1"/>
    <col min="5" max="5" width="0" hidden="1" customWidth="1"/>
  </cols>
  <sheetData>
    <row r="1" spans="1:6" ht="43.2" x14ac:dyDescent="0.3">
      <c r="A1" s="15" t="s">
        <v>174</v>
      </c>
      <c r="B1" s="15" t="s">
        <v>175</v>
      </c>
      <c r="C1" s="15" t="s">
        <v>6</v>
      </c>
      <c r="D1" s="15" t="s">
        <v>1</v>
      </c>
      <c r="E1" s="15" t="s">
        <v>98</v>
      </c>
      <c r="F1" s="15" t="s">
        <v>9</v>
      </c>
    </row>
    <row r="2" spans="1:6" x14ac:dyDescent="0.3">
      <c r="A2" s="10">
        <v>1</v>
      </c>
      <c r="B2" s="8">
        <v>69</v>
      </c>
      <c r="C2" s="12" t="s">
        <v>99</v>
      </c>
      <c r="D2" s="8">
        <v>1</v>
      </c>
      <c r="E2" s="9">
        <v>46194.616968634262</v>
      </c>
      <c r="F2" s="9">
        <v>46194.012801967598</v>
      </c>
    </row>
    <row r="3" spans="1:6" x14ac:dyDescent="0.3">
      <c r="A3" s="10">
        <v>2</v>
      </c>
      <c r="B3" s="8">
        <v>67</v>
      </c>
      <c r="C3" s="12" t="s">
        <v>49</v>
      </c>
      <c r="D3" s="8">
        <v>1</v>
      </c>
      <c r="E3" s="9">
        <v>46194.617292939816</v>
      </c>
      <c r="F3" s="9">
        <v>46194.012792939815</v>
      </c>
    </row>
    <row r="4" spans="1:6" x14ac:dyDescent="0.3">
      <c r="A4" s="10">
        <v>3</v>
      </c>
      <c r="B4" s="8">
        <v>68</v>
      </c>
      <c r="C4" s="12" t="s">
        <v>84</v>
      </c>
      <c r="D4" s="8">
        <v>1</v>
      </c>
      <c r="E4" s="9">
        <v>46194.617766435185</v>
      </c>
      <c r="F4" s="9">
        <v>46194.013020486113</v>
      </c>
    </row>
    <row r="5" spans="1:6" x14ac:dyDescent="0.3">
      <c r="A5" s="10">
        <v>5</v>
      </c>
      <c r="B5" s="8">
        <v>63</v>
      </c>
      <c r="C5" s="12" t="s">
        <v>94</v>
      </c>
      <c r="D5" s="8">
        <v>1</v>
      </c>
      <c r="E5" s="9">
        <v>46194.618683449073</v>
      </c>
      <c r="F5" s="9">
        <v>46194.013739236114</v>
      </c>
    </row>
    <row r="6" spans="1:6" x14ac:dyDescent="0.3">
      <c r="A6" s="10">
        <v>9</v>
      </c>
      <c r="B6" s="8">
        <v>64</v>
      </c>
      <c r="C6" s="12" t="s">
        <v>75</v>
      </c>
      <c r="D6" s="8">
        <v>1</v>
      </c>
      <c r="E6" s="9">
        <v>46194.618803124999</v>
      </c>
      <c r="F6" s="9">
        <v>46194.013477314809</v>
      </c>
    </row>
    <row r="7" spans="1:6" x14ac:dyDescent="0.3">
      <c r="A7" s="10">
        <v>14</v>
      </c>
      <c r="B7" s="8">
        <v>65</v>
      </c>
      <c r="C7" s="12" t="s">
        <v>14</v>
      </c>
      <c r="D7" s="8">
        <v>1</v>
      </c>
      <c r="E7" s="9">
        <v>46194.619693055552</v>
      </c>
      <c r="F7" s="9">
        <v>46194.014187962959</v>
      </c>
    </row>
    <row r="8" spans="1:6" x14ac:dyDescent="0.3">
      <c r="A8" s="10">
        <v>29</v>
      </c>
      <c r="B8" s="8">
        <v>2</v>
      </c>
      <c r="C8" s="12" t="s">
        <v>13</v>
      </c>
      <c r="D8" s="8">
        <v>1</v>
      </c>
      <c r="E8" s="9">
        <v>46194.62156446759</v>
      </c>
      <c r="F8" s="9">
        <v>46194.015600925923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E5C5-7BF6-4072-8B20-0A57936B3C97}">
  <dimension ref="A1:M69"/>
  <sheetViews>
    <sheetView view="pageBreakPreview" zoomScale="60" zoomScaleNormal="100" workbookViewId="0">
      <selection activeCell="D40" sqref="D40"/>
    </sheetView>
  </sheetViews>
  <sheetFormatPr baseColWidth="10" defaultRowHeight="14.4" x14ac:dyDescent="0.3"/>
  <cols>
    <col min="1" max="2" width="24.21875" bestFit="1" customWidth="1"/>
    <col min="3" max="3" width="17" hidden="1" customWidth="1"/>
    <col min="4" max="4" width="22" bestFit="1" customWidth="1"/>
    <col min="5" max="5" width="11.5546875" hidden="1" customWidth="1"/>
    <col min="6" max="6" width="14" hidden="1" customWidth="1"/>
    <col min="7" max="7" width="11.21875" hidden="1" customWidth="1"/>
    <col min="8" max="8" width="17.109375" bestFit="1" customWidth="1"/>
    <col min="9" max="9" width="17.109375" customWidth="1"/>
    <col min="10" max="10" width="13.44140625" hidden="1" customWidth="1"/>
    <col min="11" max="11" width="25.44140625" bestFit="1" customWidth="1"/>
    <col min="12" max="12" width="26.44140625" bestFit="1" customWidth="1"/>
    <col min="13" max="13" width="8.109375" bestFit="1" customWidth="1"/>
  </cols>
  <sheetData>
    <row r="1" spans="1:13" ht="43.2" x14ac:dyDescent="0.3">
      <c r="A1" s="14" t="s">
        <v>5</v>
      </c>
      <c r="B1" s="14" t="s">
        <v>0</v>
      </c>
      <c r="C1" s="14" t="s">
        <v>1</v>
      </c>
      <c r="D1" s="14" t="s">
        <v>50</v>
      </c>
      <c r="E1" s="15" t="s">
        <v>8</v>
      </c>
      <c r="F1" s="15" t="s">
        <v>40</v>
      </c>
      <c r="G1" s="15" t="s">
        <v>7</v>
      </c>
      <c r="H1" s="14" t="s">
        <v>10</v>
      </c>
      <c r="I1" s="14" t="s">
        <v>2</v>
      </c>
      <c r="J1" s="14" t="s">
        <v>3</v>
      </c>
      <c r="K1" s="14" t="s">
        <v>4</v>
      </c>
      <c r="L1" s="14" t="s">
        <v>39</v>
      </c>
      <c r="M1" s="15" t="s">
        <v>38</v>
      </c>
    </row>
    <row r="2" spans="1:13" x14ac:dyDescent="0.3">
      <c r="A2" s="10">
        <v>67</v>
      </c>
      <c r="B2" s="12" t="s">
        <v>49</v>
      </c>
      <c r="C2" s="8">
        <v>1</v>
      </c>
      <c r="D2" s="8" t="s">
        <v>81</v>
      </c>
      <c r="E2" s="9">
        <v>0.45972222222222198</v>
      </c>
      <c r="F2" s="9" t="s">
        <v>113</v>
      </c>
      <c r="G2" s="9">
        <f t="shared" ref="G2:G33" ca="1" si="0">IF(F2&lt;&gt;"",IF(G2="",NOW(),G2),"")</f>
        <v>46194.470005092589</v>
      </c>
      <c r="H2" s="9">
        <f t="shared" ref="H2:H33" ca="1" si="1">IF(G2="","",G2-E2)</f>
        <v>46194.010282870368</v>
      </c>
      <c r="I2" s="8">
        <f t="shared" ref="I2:I33" ca="1" si="2">IF(H2="","",RANK(H2,H$2:H$171,1))</f>
        <v>1</v>
      </c>
      <c r="J2" s="8">
        <f ca="1">IF(F2="","",COUNTIFS(C$2:C$201,C1,H$2:H$201,"&lt;="&amp;H2))</f>
        <v>0</v>
      </c>
      <c r="K2" s="9">
        <v>0</v>
      </c>
      <c r="L2" s="9">
        <v>0.60416666666666663</v>
      </c>
      <c r="M2" s="9">
        <v>0</v>
      </c>
    </row>
    <row r="3" spans="1:13" x14ac:dyDescent="0.3">
      <c r="A3" s="10">
        <v>69</v>
      </c>
      <c r="B3" s="12" t="s">
        <v>99</v>
      </c>
      <c r="C3" s="8">
        <v>1</v>
      </c>
      <c r="D3" s="8" t="s">
        <v>81</v>
      </c>
      <c r="E3" s="9">
        <v>0.46111111111111103</v>
      </c>
      <c r="F3" s="9" t="s">
        <v>113</v>
      </c>
      <c r="G3" s="9">
        <f t="shared" ca="1" si="0"/>
        <v>46194.471727314813</v>
      </c>
      <c r="H3" s="9">
        <f t="shared" ca="1" si="1"/>
        <v>46194.010616203705</v>
      </c>
      <c r="I3" s="8">
        <f t="shared" ca="1" si="2"/>
        <v>2</v>
      </c>
      <c r="J3" s="8">
        <f ca="1">IF(F3="","",COUNTIFS(C$2:C$201,C2,H$2:H$201,"&lt;="&amp;H3))</f>
        <v>2</v>
      </c>
      <c r="K3" s="9">
        <f t="shared" ref="K3:K34" ca="1" si="3">H3-H2</f>
        <v>3.3333333703922108E-4</v>
      </c>
      <c r="L3" s="9">
        <f t="shared" ref="L3:L34" ca="1" si="4">K3+L2</f>
        <v>0.60450000000370585</v>
      </c>
      <c r="M3" s="9">
        <f t="shared" ref="M3:M34" ca="1" si="5">M2+K3</f>
        <v>3.3333333703922108E-4</v>
      </c>
    </row>
    <row r="4" spans="1:13" x14ac:dyDescent="0.3">
      <c r="A4" s="10">
        <v>65</v>
      </c>
      <c r="B4" s="12" t="s">
        <v>14</v>
      </c>
      <c r="C4" s="8">
        <v>1</v>
      </c>
      <c r="D4" s="8" t="s">
        <v>70</v>
      </c>
      <c r="E4" s="9">
        <v>0.45833333333333331</v>
      </c>
      <c r="F4" s="9" t="s">
        <v>113</v>
      </c>
      <c r="G4" s="9">
        <f t="shared" ca="1" si="0"/>
        <v>46194.469195486112</v>
      </c>
      <c r="H4" s="9">
        <f t="shared" ca="1" si="1"/>
        <v>46194.010862152776</v>
      </c>
      <c r="I4" s="8">
        <f t="shared" ca="1" si="2"/>
        <v>3</v>
      </c>
      <c r="J4" s="8">
        <f ca="1">IF(F4="","",COUNTIFS(C$2:C$201,C5,H$2:H$201,"&lt;="&amp;H4))</f>
        <v>0</v>
      </c>
      <c r="K4" s="9">
        <f t="shared" ca="1" si="3"/>
        <v>2.459490715409629E-4</v>
      </c>
      <c r="L4" s="9">
        <f t="shared" ca="1" si="4"/>
        <v>0.60474594907524681</v>
      </c>
      <c r="M4" s="9">
        <f t="shared" ca="1" si="5"/>
        <v>5.7928240858018398E-4</v>
      </c>
    </row>
    <row r="5" spans="1:13" x14ac:dyDescent="0.3">
      <c r="A5" s="10">
        <v>1</v>
      </c>
      <c r="B5" s="12" t="s">
        <v>34</v>
      </c>
      <c r="C5" s="8">
        <v>2</v>
      </c>
      <c r="D5" s="8" t="s">
        <v>51</v>
      </c>
      <c r="E5" s="9">
        <v>0.41666666666666669</v>
      </c>
      <c r="F5" s="9" t="s">
        <v>113</v>
      </c>
      <c r="G5" s="9">
        <f t="shared" ca="1" si="0"/>
        <v>46194.427546643521</v>
      </c>
      <c r="H5" s="9">
        <f t="shared" ca="1" si="1"/>
        <v>46194.010879976857</v>
      </c>
      <c r="I5" s="8">
        <f t="shared" ca="1" si="2"/>
        <v>4</v>
      </c>
      <c r="J5" s="8">
        <f ca="1">IF(F5="","",COUNTIFS(C$2:C$201,C10,H$2:H$201,"&lt;="&amp;H5))</f>
        <v>1</v>
      </c>
      <c r="K5" s="9">
        <f t="shared" ca="1" si="3"/>
        <v>1.7824080714490265E-5</v>
      </c>
      <c r="L5" s="9">
        <f t="shared" ca="1" si="4"/>
        <v>0.6047637731559613</v>
      </c>
      <c r="M5" s="9">
        <f t="shared" ca="1" si="5"/>
        <v>5.9710648929467425E-4</v>
      </c>
    </row>
    <row r="6" spans="1:13" x14ac:dyDescent="0.3">
      <c r="A6" s="10">
        <v>68</v>
      </c>
      <c r="B6" s="12" t="s">
        <v>84</v>
      </c>
      <c r="C6" s="8">
        <v>1</v>
      </c>
      <c r="D6" s="8" t="s">
        <v>64</v>
      </c>
      <c r="E6" s="9">
        <v>0.46041666666666597</v>
      </c>
      <c r="F6" s="9" t="s">
        <v>113</v>
      </c>
      <c r="G6" s="9">
        <f t="shared" ca="1" si="0"/>
        <v>46194.471477083331</v>
      </c>
      <c r="H6" s="9">
        <f t="shared" ca="1" si="1"/>
        <v>46194.011060416662</v>
      </c>
      <c r="I6" s="8">
        <f t="shared" ca="1" si="2"/>
        <v>5</v>
      </c>
      <c r="J6" s="8">
        <f ca="1">IF(F6="","",COUNTIFS(C$2:C$201,C5,H$2:H$201,"&lt;="&amp;H6))</f>
        <v>1</v>
      </c>
      <c r="K6" s="9">
        <f t="shared" ca="1" si="3"/>
        <v>1.8043980526272207E-4</v>
      </c>
      <c r="L6" s="9">
        <f t="shared" ca="1" si="4"/>
        <v>0.60494421296122403</v>
      </c>
      <c r="M6" s="9">
        <f t="shared" ca="1" si="5"/>
        <v>7.7754629455739632E-4</v>
      </c>
    </row>
    <row r="7" spans="1:13" x14ac:dyDescent="0.3">
      <c r="A7" s="10">
        <v>59</v>
      </c>
      <c r="B7" s="12" t="s">
        <v>74</v>
      </c>
      <c r="C7" s="8">
        <v>2</v>
      </c>
      <c r="D7" s="8" t="s">
        <v>73</v>
      </c>
      <c r="E7" s="9">
        <v>0.454166666666667</v>
      </c>
      <c r="F7" s="9" t="s">
        <v>113</v>
      </c>
      <c r="G7" s="9">
        <f t="shared" ca="1" si="0"/>
        <v>46194.465381134258</v>
      </c>
      <c r="H7" s="9">
        <f t="shared" ca="1" si="1"/>
        <v>46194.011214467588</v>
      </c>
      <c r="I7" s="8">
        <f t="shared" ca="1" si="2"/>
        <v>6</v>
      </c>
      <c r="J7" s="8">
        <f ca="1">IF(F7="","",COUNTIFS(C$2:C$201,C7,H$2:H$201,"&lt;="&amp;H7))</f>
        <v>2</v>
      </c>
      <c r="K7" s="9">
        <f t="shared" ca="1" si="3"/>
        <v>1.5405092563014477E-4</v>
      </c>
      <c r="L7" s="9">
        <f t="shared" ca="1" si="4"/>
        <v>0.60509826388685417</v>
      </c>
      <c r="M7" s="9">
        <f t="shared" ca="1" si="5"/>
        <v>9.315972201875411E-4</v>
      </c>
    </row>
    <row r="8" spans="1:13" x14ac:dyDescent="0.3">
      <c r="A8" s="10">
        <v>64</v>
      </c>
      <c r="B8" s="12" t="s">
        <v>75</v>
      </c>
      <c r="C8" s="8">
        <v>1</v>
      </c>
      <c r="D8" s="8" t="s">
        <v>76</v>
      </c>
      <c r="E8" s="9">
        <v>0.45805555555555555</v>
      </c>
      <c r="F8" s="9" t="s">
        <v>113</v>
      </c>
      <c r="G8" s="9">
        <f t="shared" ca="1" si="0"/>
        <v>46194.469281944446</v>
      </c>
      <c r="H8" s="9">
        <f t="shared" ca="1" si="1"/>
        <v>46194.011226388888</v>
      </c>
      <c r="I8" s="8">
        <f t="shared" ca="1" si="2"/>
        <v>7</v>
      </c>
      <c r="J8" s="8">
        <f ca="1">IF(F8="","",COUNTIFS(C$2:C$201,#REF!,H$2:H$201,"&lt;="&amp;H8))</f>
        <v>0</v>
      </c>
      <c r="K8" s="9">
        <f t="shared" ca="1" si="3"/>
        <v>1.1921300028916448E-5</v>
      </c>
      <c r="L8" s="9">
        <f t="shared" ca="1" si="4"/>
        <v>0.60511018518688309</v>
      </c>
      <c r="M8" s="9">
        <f t="shared" ca="1" si="5"/>
        <v>9.4351852021645755E-4</v>
      </c>
    </row>
    <row r="9" spans="1:13" x14ac:dyDescent="0.3">
      <c r="A9" s="10">
        <v>63</v>
      </c>
      <c r="B9" s="12" t="s">
        <v>94</v>
      </c>
      <c r="C9" s="8">
        <v>1</v>
      </c>
      <c r="D9" s="8" t="s">
        <v>95</v>
      </c>
      <c r="E9" s="9">
        <v>0.45694444444444399</v>
      </c>
      <c r="F9" s="9" t="s">
        <v>113</v>
      </c>
      <c r="G9" s="9">
        <f t="shared" ca="1" si="0"/>
        <v>46194.468367939815</v>
      </c>
      <c r="H9" s="9">
        <f t="shared" ca="1" si="1"/>
        <v>46194.011423495373</v>
      </c>
      <c r="I9" s="8">
        <f t="shared" ca="1" si="2"/>
        <v>8</v>
      </c>
      <c r="J9" s="8">
        <f ca="1">IF(F9="","",COUNTIFS(C$2:C$201,C9,H$2:H$201,"&lt;="&amp;H9))</f>
        <v>6</v>
      </c>
      <c r="K9" s="9">
        <f t="shared" ca="1" si="3"/>
        <v>1.9710648484760895E-4</v>
      </c>
      <c r="L9" s="9">
        <f t="shared" ca="1" si="4"/>
        <v>0.6053072916717307</v>
      </c>
      <c r="M9" s="9">
        <f t="shared" ca="1" si="5"/>
        <v>1.1406250050640665E-3</v>
      </c>
    </row>
    <row r="10" spans="1:13" x14ac:dyDescent="0.3">
      <c r="A10" s="10">
        <v>82</v>
      </c>
      <c r="B10" s="12" t="s">
        <v>35</v>
      </c>
      <c r="C10" s="8">
        <v>2</v>
      </c>
      <c r="D10" s="8" t="s">
        <v>51</v>
      </c>
      <c r="E10" s="9">
        <v>0.47013888888888899</v>
      </c>
      <c r="F10" s="9" t="s">
        <v>113</v>
      </c>
      <c r="G10" s="9">
        <f t="shared" ca="1" si="0"/>
        <v>46194.481580902779</v>
      </c>
      <c r="H10" s="9">
        <f t="shared" ca="1" si="1"/>
        <v>46194.011442013893</v>
      </c>
      <c r="I10" s="8">
        <f t="shared" ca="1" si="2"/>
        <v>9</v>
      </c>
      <c r="J10" s="8">
        <f ca="1">IF(F10="","",COUNTIFS(C$2:C$201,#REF!,H$2:H$201,"&lt;="&amp;H10))</f>
        <v>0</v>
      </c>
      <c r="K10" s="9">
        <f t="shared" ca="1" si="3"/>
        <v>1.8518519937060773E-5</v>
      </c>
      <c r="L10" s="9">
        <f t="shared" ca="1" si="4"/>
        <v>0.60532581019166776</v>
      </c>
      <c r="M10" s="9">
        <f t="shared" ca="1" si="5"/>
        <v>1.1591435250011273E-3</v>
      </c>
    </row>
    <row r="11" spans="1:13" x14ac:dyDescent="0.3">
      <c r="A11" s="10">
        <v>78</v>
      </c>
      <c r="B11" s="12" t="s">
        <v>18</v>
      </c>
      <c r="C11" s="8">
        <v>3</v>
      </c>
      <c r="D11" s="8" t="s">
        <v>51</v>
      </c>
      <c r="E11" s="9">
        <v>0.46736111111111101</v>
      </c>
      <c r="F11" s="9" t="s">
        <v>113</v>
      </c>
      <c r="G11" s="9">
        <f t="shared" ca="1" si="0"/>
        <v>46194.478831018518</v>
      </c>
      <c r="H11" s="9">
        <f t="shared" ca="1" si="1"/>
        <v>46194.011469907404</v>
      </c>
      <c r="I11" s="8">
        <f t="shared" ca="1" si="2"/>
        <v>10</v>
      </c>
      <c r="J11" s="8">
        <f ca="1">IF(F11="","",COUNTIFS(C$2:C$201,C11,H$2:H$201,"&lt;="&amp;H11))</f>
        <v>1</v>
      </c>
      <c r="K11" s="9">
        <f t="shared" ca="1" si="3"/>
        <v>2.7893511287402362E-5</v>
      </c>
      <c r="L11" s="9">
        <f t="shared" ca="1" si="4"/>
        <v>0.60535370370295516</v>
      </c>
      <c r="M11" s="9">
        <f t="shared" ca="1" si="5"/>
        <v>1.1870370362885296E-3</v>
      </c>
    </row>
    <row r="12" spans="1:13" x14ac:dyDescent="0.3">
      <c r="A12" s="10">
        <v>57</v>
      </c>
      <c r="B12" s="12" t="s">
        <v>72</v>
      </c>
      <c r="C12" s="8">
        <v>2</v>
      </c>
      <c r="D12" s="8" t="s">
        <v>73</v>
      </c>
      <c r="E12" s="9">
        <v>0.452777777777778</v>
      </c>
      <c r="F12" s="9" t="s">
        <v>113</v>
      </c>
      <c r="G12" s="9">
        <f t="shared" ca="1" si="0"/>
        <v>46194.464338310187</v>
      </c>
      <c r="H12" s="9">
        <f t="shared" ca="1" si="1"/>
        <v>46194.01156053241</v>
      </c>
      <c r="I12" s="8">
        <f t="shared" ca="1" si="2"/>
        <v>11</v>
      </c>
      <c r="J12" s="8">
        <f ca="1">IF(F12="","",COUNTIFS(C$2:C$201,C12,H$2:H$201,"&lt;="&amp;H12))</f>
        <v>4</v>
      </c>
      <c r="K12" s="9">
        <f t="shared" ca="1" si="3"/>
        <v>9.0625006123445928E-5</v>
      </c>
      <c r="L12" s="9">
        <f t="shared" ca="1" si="4"/>
        <v>0.60544432870907861</v>
      </c>
      <c r="M12" s="9">
        <f t="shared" ca="1" si="5"/>
        <v>1.2776620424119756E-3</v>
      </c>
    </row>
    <row r="13" spans="1:13" x14ac:dyDescent="0.3">
      <c r="A13" s="10">
        <v>3</v>
      </c>
      <c r="B13" s="12" t="s">
        <v>17</v>
      </c>
      <c r="C13" s="8">
        <v>2</v>
      </c>
      <c r="D13" s="8" t="s">
        <v>51</v>
      </c>
      <c r="E13" s="9">
        <v>0.41805555555555601</v>
      </c>
      <c r="F13" s="9" t="s">
        <v>113</v>
      </c>
      <c r="G13" s="9">
        <f t="shared" ca="1" si="0"/>
        <v>46194.429659606481</v>
      </c>
      <c r="H13" s="9">
        <f t="shared" ca="1" si="1"/>
        <v>46194.011604050924</v>
      </c>
      <c r="I13" s="8">
        <f t="shared" ca="1" si="2"/>
        <v>12</v>
      </c>
      <c r="J13" s="8">
        <f ca="1">IF(F13="","",COUNTIFS(C$2:C$201,C12,H$2:H$201,"&lt;="&amp;H13))</f>
        <v>5</v>
      </c>
      <c r="K13" s="9">
        <f t="shared" ca="1" si="3"/>
        <v>4.3518513848539442E-5</v>
      </c>
      <c r="L13" s="9">
        <f t="shared" ca="1" si="4"/>
        <v>0.60548784722292714</v>
      </c>
      <c r="M13" s="9">
        <f t="shared" ca="1" si="5"/>
        <v>1.321180556260515E-3</v>
      </c>
    </row>
    <row r="14" spans="1:13" x14ac:dyDescent="0.3">
      <c r="A14" s="10">
        <v>21</v>
      </c>
      <c r="B14" s="12" t="s">
        <v>92</v>
      </c>
      <c r="C14" s="8" t="s">
        <v>32</v>
      </c>
      <c r="D14" s="8" t="s">
        <v>93</v>
      </c>
      <c r="E14" s="9">
        <v>0.42986111111111103</v>
      </c>
      <c r="F14" s="9" t="s">
        <v>113</v>
      </c>
      <c r="G14" s="9">
        <f t="shared" ca="1" si="0"/>
        <v>46194.441475347223</v>
      </c>
      <c r="H14" s="9">
        <f t="shared" ca="1" si="1"/>
        <v>46194.011614236115</v>
      </c>
      <c r="I14" s="8">
        <f t="shared" ca="1" si="2"/>
        <v>13</v>
      </c>
      <c r="J14" s="8">
        <f ca="1">IF(F14="","",COUNTIFS(C$2:C$201,#REF!,H$2:H$201,"&lt;="&amp;H14))</f>
        <v>0</v>
      </c>
      <c r="K14" s="9">
        <f t="shared" ca="1" si="3"/>
        <v>1.0185191058553755E-5</v>
      </c>
      <c r="L14" s="9">
        <f t="shared" ca="1" si="4"/>
        <v>0.6054980324139857</v>
      </c>
      <c r="M14" s="9">
        <f t="shared" ca="1" si="5"/>
        <v>1.3313657473190688E-3</v>
      </c>
    </row>
    <row r="15" spans="1:13" x14ac:dyDescent="0.3">
      <c r="A15" s="10">
        <v>51</v>
      </c>
      <c r="B15" s="12" t="s">
        <v>16</v>
      </c>
      <c r="C15" s="8">
        <v>2</v>
      </c>
      <c r="D15" s="8" t="s">
        <v>64</v>
      </c>
      <c r="E15" s="9">
        <v>0.44861111111111102</v>
      </c>
      <c r="F15" s="9" t="s">
        <v>113</v>
      </c>
      <c r="G15" s="9">
        <f t="shared" ca="1" si="0"/>
        <v>46194.460232407408</v>
      </c>
      <c r="H15" s="9">
        <f t="shared" ca="1" si="1"/>
        <v>46194.011621296297</v>
      </c>
      <c r="I15" s="8">
        <f t="shared" ca="1" si="2"/>
        <v>14</v>
      </c>
      <c r="J15" s="8">
        <f t="shared" ref="J15:J22" ca="1" si="6">IF(F15="","",COUNTIFS(C$2:C$201,C15,H$2:H$201,"&lt;="&amp;H15))</f>
        <v>6</v>
      </c>
      <c r="K15" s="9">
        <f t="shared" ca="1" si="3"/>
        <v>7.0601818151772022E-6</v>
      </c>
      <c r="L15" s="9">
        <f t="shared" ca="1" si="4"/>
        <v>0.60550509259580088</v>
      </c>
      <c r="M15" s="9">
        <f t="shared" ca="1" si="5"/>
        <v>1.338425929134246E-3</v>
      </c>
    </row>
    <row r="16" spans="1:13" x14ac:dyDescent="0.3">
      <c r="A16" s="10">
        <v>32</v>
      </c>
      <c r="B16" s="12" t="s">
        <v>103</v>
      </c>
      <c r="C16" s="8" t="s">
        <v>37</v>
      </c>
      <c r="D16" s="8" t="s">
        <v>37</v>
      </c>
      <c r="E16" s="9">
        <v>0.4375</v>
      </c>
      <c r="F16" s="9" t="s">
        <v>113</v>
      </c>
      <c r="G16" s="9">
        <f t="shared" ca="1" si="0"/>
        <v>46194.449131597219</v>
      </c>
      <c r="H16" s="9">
        <f t="shared" ca="1" si="1"/>
        <v>46194.011631597219</v>
      </c>
      <c r="I16" s="8">
        <f t="shared" ca="1" si="2"/>
        <v>15</v>
      </c>
      <c r="J16" s="8">
        <f t="shared" ca="1" si="6"/>
        <v>1</v>
      </c>
      <c r="K16" s="9">
        <f t="shared" ca="1" si="3"/>
        <v>1.0300922440364957E-5</v>
      </c>
      <c r="L16" s="9">
        <f t="shared" ca="1" si="4"/>
        <v>0.60551539351824124</v>
      </c>
      <c r="M16" s="9">
        <f t="shared" ca="1" si="5"/>
        <v>1.3487268515746109E-3</v>
      </c>
    </row>
    <row r="17" spans="1:13" x14ac:dyDescent="0.3">
      <c r="A17" s="10">
        <v>30</v>
      </c>
      <c r="B17" s="12" t="s">
        <v>96</v>
      </c>
      <c r="C17" s="8" t="s">
        <v>37</v>
      </c>
      <c r="D17" s="8" t="s">
        <v>37</v>
      </c>
      <c r="E17" s="9">
        <v>0.43611111111111101</v>
      </c>
      <c r="F17" s="9" t="s">
        <v>113</v>
      </c>
      <c r="G17" s="9">
        <f t="shared" ca="1" si="0"/>
        <v>46194.447744675927</v>
      </c>
      <c r="H17" s="9">
        <f t="shared" ca="1" si="1"/>
        <v>46194.011633564813</v>
      </c>
      <c r="I17" s="8">
        <f t="shared" ca="1" si="2"/>
        <v>16</v>
      </c>
      <c r="J17" s="8">
        <f t="shared" ca="1" si="6"/>
        <v>2</v>
      </c>
      <c r="K17" s="9">
        <f t="shared" ca="1" si="3"/>
        <v>1.9675935618579388E-6</v>
      </c>
      <c r="L17" s="9">
        <f t="shared" ca="1" si="4"/>
        <v>0.6055173611118031</v>
      </c>
      <c r="M17" s="9">
        <f t="shared" ca="1" si="5"/>
        <v>1.3506944451364689E-3</v>
      </c>
    </row>
    <row r="18" spans="1:13" x14ac:dyDescent="0.3">
      <c r="A18" s="10">
        <v>58</v>
      </c>
      <c r="B18" s="12" t="s">
        <v>33</v>
      </c>
      <c r="C18" s="8">
        <v>2</v>
      </c>
      <c r="D18" s="8" t="s">
        <v>60</v>
      </c>
      <c r="E18" s="9">
        <v>0.453472222222222</v>
      </c>
      <c r="F18" s="9" t="s">
        <v>113</v>
      </c>
      <c r="G18" s="9">
        <f t="shared" ca="1" si="0"/>
        <v>46194.465118749999</v>
      </c>
      <c r="H18" s="9">
        <f t="shared" ca="1" si="1"/>
        <v>46194.011646527775</v>
      </c>
      <c r="I18" s="8">
        <f t="shared" ca="1" si="2"/>
        <v>17</v>
      </c>
      <c r="J18" s="8">
        <f t="shared" ca="1" si="6"/>
        <v>7</v>
      </c>
      <c r="K18" s="9">
        <f t="shared" ca="1" si="3"/>
        <v>1.2962962500751019E-5</v>
      </c>
      <c r="L18" s="9">
        <f t="shared" ca="1" si="4"/>
        <v>0.60553032407430385</v>
      </c>
      <c r="M18" s="9">
        <f t="shared" ca="1" si="5"/>
        <v>1.3636574076372199E-3</v>
      </c>
    </row>
    <row r="19" spans="1:13" x14ac:dyDescent="0.3">
      <c r="A19" s="10">
        <v>56</v>
      </c>
      <c r="B19" s="12" t="s">
        <v>71</v>
      </c>
      <c r="C19" s="8">
        <v>2</v>
      </c>
      <c r="D19" s="8" t="s">
        <v>60</v>
      </c>
      <c r="E19" s="9">
        <v>0.452083333333333</v>
      </c>
      <c r="F19" s="9" t="s">
        <v>113</v>
      </c>
      <c r="G19" s="9">
        <f t="shared" ca="1" si="0"/>
        <v>46194.463739814812</v>
      </c>
      <c r="H19" s="9">
        <f t="shared" ca="1" si="1"/>
        <v>46194.011656481482</v>
      </c>
      <c r="I19" s="8">
        <f t="shared" ca="1" si="2"/>
        <v>18</v>
      </c>
      <c r="J19" s="8">
        <f t="shared" ca="1" si="6"/>
        <v>8</v>
      </c>
      <c r="K19" s="9">
        <f t="shared" ca="1" si="3"/>
        <v>9.9537064670585096E-6</v>
      </c>
      <c r="L19" s="9">
        <f t="shared" ca="1" si="4"/>
        <v>0.60554027778077091</v>
      </c>
      <c r="M19" s="9">
        <f t="shared" ca="1" si="5"/>
        <v>1.3736111141042784E-3</v>
      </c>
    </row>
    <row r="20" spans="1:13" x14ac:dyDescent="0.3">
      <c r="A20" s="10">
        <v>54</v>
      </c>
      <c r="B20" s="12" t="s">
        <v>15</v>
      </c>
      <c r="C20" s="8">
        <v>2</v>
      </c>
      <c r="D20" s="8" t="s">
        <v>114</v>
      </c>
      <c r="E20" s="9">
        <v>0.45173611111111112</v>
      </c>
      <c r="F20" s="9" t="s">
        <v>113</v>
      </c>
      <c r="G20" s="36">
        <f t="shared" ca="1" si="0"/>
        <v>46194.463412268517</v>
      </c>
      <c r="H20" s="36">
        <f t="shared" ca="1" si="1"/>
        <v>46194.011676157403</v>
      </c>
      <c r="I20" s="8">
        <f t="shared" ca="1" si="2"/>
        <v>19</v>
      </c>
      <c r="J20" s="8">
        <f t="shared" ca="1" si="6"/>
        <v>9</v>
      </c>
      <c r="K20" s="9">
        <f t="shared" ca="1" si="3"/>
        <v>1.9675921066664159E-5</v>
      </c>
      <c r="L20" s="9">
        <f t="shared" ca="1" si="4"/>
        <v>0.60555995370183757</v>
      </c>
      <c r="M20" s="9">
        <f t="shared" ca="1" si="5"/>
        <v>1.3932870351709425E-3</v>
      </c>
    </row>
    <row r="21" spans="1:13" x14ac:dyDescent="0.3">
      <c r="A21" s="10">
        <v>55</v>
      </c>
      <c r="B21" s="12" t="s">
        <v>69</v>
      </c>
      <c r="C21" s="8">
        <v>2</v>
      </c>
      <c r="D21" s="8" t="s">
        <v>70</v>
      </c>
      <c r="E21" s="9">
        <v>0.45734953703703701</v>
      </c>
      <c r="F21" s="9" t="s">
        <v>113</v>
      </c>
      <c r="G21" s="9">
        <f t="shared" ca="1" si="0"/>
        <v>46194.469089583334</v>
      </c>
      <c r="H21" s="9">
        <f t="shared" ca="1" si="1"/>
        <v>46194.011740046299</v>
      </c>
      <c r="I21" s="8">
        <f t="shared" ca="1" si="2"/>
        <v>20</v>
      </c>
      <c r="J21" s="8">
        <f t="shared" ca="1" si="6"/>
        <v>10</v>
      </c>
      <c r="K21" s="9">
        <f t="shared" ca="1" si="3"/>
        <v>6.3888895965646952E-5</v>
      </c>
      <c r="L21" s="9">
        <f t="shared" ca="1" si="4"/>
        <v>0.60562384259780322</v>
      </c>
      <c r="M21" s="9">
        <f t="shared" ca="1" si="5"/>
        <v>1.4571759311365895E-3</v>
      </c>
    </row>
    <row r="22" spans="1:13" x14ac:dyDescent="0.3">
      <c r="A22" s="10">
        <v>53</v>
      </c>
      <c r="B22" s="12" t="s">
        <v>91</v>
      </c>
      <c r="C22" s="8">
        <v>2</v>
      </c>
      <c r="D22" s="8" t="s">
        <v>78</v>
      </c>
      <c r="E22" s="9">
        <v>0.45162037037037039</v>
      </c>
      <c r="F22" s="9" t="s">
        <v>113</v>
      </c>
      <c r="G22" s="36">
        <f t="shared" ca="1" si="0"/>
        <v>46194.463400810186</v>
      </c>
      <c r="H22" s="36">
        <f t="shared" ca="1" si="1"/>
        <v>46194.011780439818</v>
      </c>
      <c r="I22" s="8">
        <f t="shared" ca="1" si="2"/>
        <v>21</v>
      </c>
      <c r="J22" s="8">
        <f t="shared" ca="1" si="6"/>
        <v>11</v>
      </c>
      <c r="K22" s="9">
        <f t="shared" ca="1" si="3"/>
        <v>4.0393519157078117E-5</v>
      </c>
      <c r="L22" s="9">
        <f t="shared" ca="1" si="4"/>
        <v>0.6056642361169603</v>
      </c>
      <c r="M22" s="9">
        <f t="shared" ca="1" si="5"/>
        <v>1.4975694502936676E-3</v>
      </c>
    </row>
    <row r="23" spans="1:13" x14ac:dyDescent="0.3">
      <c r="A23" s="10">
        <v>17</v>
      </c>
      <c r="B23" s="12" t="s">
        <v>12</v>
      </c>
      <c r="C23" s="8" t="s">
        <v>32</v>
      </c>
      <c r="D23" s="8" t="s">
        <v>51</v>
      </c>
      <c r="E23" s="9">
        <v>0.42708333333333298</v>
      </c>
      <c r="F23" s="9" t="s">
        <v>113</v>
      </c>
      <c r="G23" s="9">
        <f t="shared" ca="1" si="0"/>
        <v>46194.438909143515</v>
      </c>
      <c r="H23" s="9">
        <f t="shared" ca="1" si="1"/>
        <v>46194.011825810179</v>
      </c>
      <c r="I23" s="8">
        <f t="shared" ca="1" si="2"/>
        <v>22</v>
      </c>
      <c r="J23" s="8">
        <f ca="1">IF(F23="","",COUNTIFS(C$2:C$201,C24,H$2:H$201,"&lt;="&amp;H23))</f>
        <v>2</v>
      </c>
      <c r="K23" s="9">
        <f t="shared" ca="1" si="3"/>
        <v>4.5370361476670951E-5</v>
      </c>
      <c r="L23" s="9">
        <f t="shared" ca="1" si="4"/>
        <v>0.60570960647843697</v>
      </c>
      <c r="M23" s="9">
        <f t="shared" ca="1" si="5"/>
        <v>1.5429398117703386E-3</v>
      </c>
    </row>
    <row r="24" spans="1:13" x14ac:dyDescent="0.3">
      <c r="A24" s="10">
        <v>20</v>
      </c>
      <c r="B24" s="12" t="s">
        <v>89</v>
      </c>
      <c r="C24" s="8" t="s">
        <v>32</v>
      </c>
      <c r="D24" s="8" t="s">
        <v>90</v>
      </c>
      <c r="E24" s="9">
        <v>0.42916666666666697</v>
      </c>
      <c r="F24" s="9" t="s">
        <v>113</v>
      </c>
      <c r="G24" s="9">
        <f t="shared" ca="1" si="0"/>
        <v>46194.441006944442</v>
      </c>
      <c r="H24" s="9">
        <f t="shared" ca="1" si="1"/>
        <v>46194.011840277773</v>
      </c>
      <c r="I24" s="8">
        <f t="shared" ca="1" si="2"/>
        <v>23</v>
      </c>
      <c r="J24" s="8">
        <f ca="1">IF(F24="","",COUNTIFS(C$2:C$201,C25,H$2:H$201,"&lt;="&amp;H24))</f>
        <v>1</v>
      </c>
      <c r="K24" s="9">
        <f t="shared" ca="1" si="3"/>
        <v>1.446759415557608E-5</v>
      </c>
      <c r="L24" s="9">
        <f t="shared" ca="1" si="4"/>
        <v>0.60572407407259254</v>
      </c>
      <c r="M24" s="9">
        <f t="shared" ca="1" si="5"/>
        <v>1.5574074059259146E-3</v>
      </c>
    </row>
    <row r="25" spans="1:13" x14ac:dyDescent="0.3">
      <c r="A25" s="10">
        <v>81</v>
      </c>
      <c r="B25" s="12" t="s">
        <v>20</v>
      </c>
      <c r="C25" s="8">
        <v>3</v>
      </c>
      <c r="D25" s="8" t="s">
        <v>51</v>
      </c>
      <c r="E25" s="9">
        <v>0.469444444444444</v>
      </c>
      <c r="F25" s="9" t="s">
        <v>113</v>
      </c>
      <c r="G25" s="9">
        <f t="shared" ca="1" si="0"/>
        <v>46194.481335185184</v>
      </c>
      <c r="H25" s="9">
        <f t="shared" ca="1" si="1"/>
        <v>46194.011890740738</v>
      </c>
      <c r="I25" s="8">
        <f t="shared" ca="1" si="2"/>
        <v>24</v>
      </c>
      <c r="J25" s="8">
        <f ca="1">IF(F25="","",COUNTIFS(C$2:C$201,C25,H$2:H$201,"&lt;="&amp;H25))</f>
        <v>2</v>
      </c>
      <c r="K25" s="9">
        <f t="shared" ca="1" si="3"/>
        <v>5.0462964281905442E-5</v>
      </c>
      <c r="L25" s="9">
        <f t="shared" ca="1" si="4"/>
        <v>0.60577453703687445</v>
      </c>
      <c r="M25" s="9">
        <f t="shared" ca="1" si="5"/>
        <v>1.6078703702078201E-3</v>
      </c>
    </row>
    <row r="26" spans="1:13" x14ac:dyDescent="0.3">
      <c r="A26" s="10">
        <v>28</v>
      </c>
      <c r="B26" s="12" t="s">
        <v>87</v>
      </c>
      <c r="C26" s="8" t="s">
        <v>37</v>
      </c>
      <c r="D26" s="8" t="s">
        <v>37</v>
      </c>
      <c r="E26" s="9">
        <v>0.43472222222222201</v>
      </c>
      <c r="F26" s="9" t="s">
        <v>113</v>
      </c>
      <c r="G26" s="9">
        <f t="shared" ca="1" si="0"/>
        <v>46194.446621527779</v>
      </c>
      <c r="H26" s="9">
        <f t="shared" ca="1" si="1"/>
        <v>46194.011899305558</v>
      </c>
      <c r="I26" s="8">
        <f t="shared" ca="1" si="2"/>
        <v>25</v>
      </c>
      <c r="J26" s="8">
        <f ca="1">IF(F26="","",COUNTIFS(C$2:C$201,C26,H$2:H$201,"&lt;="&amp;H26))</f>
        <v>3</v>
      </c>
      <c r="K26" s="9">
        <f t="shared" ca="1" si="3"/>
        <v>8.564820745959878E-6</v>
      </c>
      <c r="L26" s="9">
        <f t="shared" ca="1" si="4"/>
        <v>0.60578310185762041</v>
      </c>
      <c r="M26" s="9">
        <f t="shared" ca="1" si="5"/>
        <v>1.61643519095378E-3</v>
      </c>
    </row>
    <row r="27" spans="1:13" x14ac:dyDescent="0.3">
      <c r="A27" s="10">
        <v>44</v>
      </c>
      <c r="B27" s="12" t="s">
        <v>63</v>
      </c>
      <c r="C27" s="8">
        <v>3</v>
      </c>
      <c r="D27" s="8" t="s">
        <v>64</v>
      </c>
      <c r="E27" s="9">
        <v>0.44444444444444398</v>
      </c>
      <c r="F27" s="9" t="s">
        <v>113</v>
      </c>
      <c r="G27" s="9">
        <f t="shared" ca="1" si="0"/>
        <v>46194.456468055556</v>
      </c>
      <c r="H27" s="9">
        <f t="shared" ca="1" si="1"/>
        <v>46194.012023611111</v>
      </c>
      <c r="I27" s="8">
        <f t="shared" ca="1" si="2"/>
        <v>26</v>
      </c>
      <c r="J27" s="8">
        <f ca="1">IF(F27="","",COUNTIFS(C$2:C$201,#REF!,H$2:H$201,"&lt;="&amp;H27))</f>
        <v>0</v>
      </c>
      <c r="K27" s="9">
        <f t="shared" ca="1" si="3"/>
        <v>1.2430555216269568E-4</v>
      </c>
      <c r="L27" s="9">
        <f t="shared" ca="1" si="4"/>
        <v>0.60590740740978311</v>
      </c>
      <c r="M27" s="9">
        <f t="shared" ca="1" si="5"/>
        <v>1.7407407431164756E-3</v>
      </c>
    </row>
    <row r="28" spans="1:13" x14ac:dyDescent="0.3">
      <c r="A28" s="10">
        <v>79</v>
      </c>
      <c r="B28" s="12" t="s">
        <v>22</v>
      </c>
      <c r="C28" s="8">
        <v>3</v>
      </c>
      <c r="D28" s="8" t="s">
        <v>51</v>
      </c>
      <c r="E28" s="9">
        <v>0.47638888888888886</v>
      </c>
      <c r="F28" s="9" t="s">
        <v>113</v>
      </c>
      <c r="G28" s="9">
        <f t="shared" ca="1" si="0"/>
        <v>46194.488417361114</v>
      </c>
      <c r="H28" s="9">
        <f t="shared" ca="1" si="1"/>
        <v>46194.012028472222</v>
      </c>
      <c r="I28" s="8">
        <f t="shared" ca="1" si="2"/>
        <v>27</v>
      </c>
      <c r="J28" s="8">
        <f ca="1">IF(F28="","",COUNTIFS(C$2:C$201,C28,H$2:H$201,"&lt;="&amp;H28))</f>
        <v>4</v>
      </c>
      <c r="K28" s="9">
        <f t="shared" ca="1" si="3"/>
        <v>4.8611109377816319E-6</v>
      </c>
      <c r="L28" s="9">
        <f t="shared" ca="1" si="4"/>
        <v>0.60591226852072089</v>
      </c>
      <c r="M28" s="9">
        <f t="shared" ca="1" si="5"/>
        <v>1.7456018540542573E-3</v>
      </c>
    </row>
    <row r="29" spans="1:13" x14ac:dyDescent="0.3">
      <c r="A29" s="10">
        <v>13</v>
      </c>
      <c r="B29" s="12" t="s">
        <v>83</v>
      </c>
      <c r="C29" s="8" t="s">
        <v>44</v>
      </c>
      <c r="D29" s="8" t="s">
        <v>56</v>
      </c>
      <c r="E29" s="9">
        <v>0.42430555555555599</v>
      </c>
      <c r="F29" s="9" t="s">
        <v>113</v>
      </c>
      <c r="G29" s="9">
        <f t="shared" ca="1" si="0"/>
        <v>46194.436338425927</v>
      </c>
      <c r="H29" s="9">
        <f t="shared" ca="1" si="1"/>
        <v>46194.012032870371</v>
      </c>
      <c r="I29" s="8">
        <f t="shared" ca="1" si="2"/>
        <v>28</v>
      </c>
      <c r="J29" s="8">
        <f ca="1">IF(F29="","",COUNTIFS(C$2:C$201,C29,H$2:H$201,"&lt;="&amp;H29))</f>
        <v>1</v>
      </c>
      <c r="K29" s="9">
        <f t="shared" ca="1" si="3"/>
        <v>4.3981490307487547E-6</v>
      </c>
      <c r="L29" s="9">
        <f t="shared" ca="1" si="4"/>
        <v>0.60591666666975164</v>
      </c>
      <c r="M29" s="9">
        <f t="shared" ca="1" si="5"/>
        <v>1.750000003085006E-3</v>
      </c>
    </row>
    <row r="30" spans="1:13" x14ac:dyDescent="0.3">
      <c r="A30" s="10">
        <v>47</v>
      </c>
      <c r="B30" s="12" t="s">
        <v>19</v>
      </c>
      <c r="C30" s="8">
        <v>3</v>
      </c>
      <c r="D30" s="8" t="s">
        <v>62</v>
      </c>
      <c r="E30" s="9">
        <v>0.44583333333333303</v>
      </c>
      <c r="F30" s="9" t="s">
        <v>113</v>
      </c>
      <c r="G30" s="9">
        <f t="shared" ca="1" si="0"/>
        <v>46194.457913078702</v>
      </c>
      <c r="H30" s="9">
        <f t="shared" ca="1" si="1"/>
        <v>46194.012079745371</v>
      </c>
      <c r="I30" s="8">
        <f t="shared" ca="1" si="2"/>
        <v>29</v>
      </c>
      <c r="J30" s="8">
        <f ca="1">IF(F30="","",COUNTIFS(C$2:C$201,#REF!,H$2:H$201,"&lt;="&amp;H30))</f>
        <v>0</v>
      </c>
      <c r="K30" s="9">
        <f t="shared" ca="1" si="3"/>
        <v>4.6875000407453626E-5</v>
      </c>
      <c r="L30" s="9">
        <f t="shared" ca="1" si="4"/>
        <v>0.60596354167015909</v>
      </c>
      <c r="M30" s="9">
        <f t="shared" ca="1" si="5"/>
        <v>1.7968750034924597E-3</v>
      </c>
    </row>
    <row r="31" spans="1:13" x14ac:dyDescent="0.3">
      <c r="A31" s="10">
        <v>41</v>
      </c>
      <c r="B31" s="12" t="s">
        <v>59</v>
      </c>
      <c r="C31" s="8">
        <v>3</v>
      </c>
      <c r="D31" s="8" t="s">
        <v>60</v>
      </c>
      <c r="E31" s="9">
        <v>0.44236111111111098</v>
      </c>
      <c r="F31" s="9" t="s">
        <v>113</v>
      </c>
      <c r="G31" s="9">
        <f t="shared" ca="1" si="0"/>
        <v>46194.454529976851</v>
      </c>
      <c r="H31" s="9">
        <f t="shared" ca="1" si="1"/>
        <v>46194.012168865738</v>
      </c>
      <c r="I31" s="8">
        <f t="shared" ca="1" si="2"/>
        <v>30</v>
      </c>
      <c r="J31" s="8">
        <f ca="1">IF(F31="","",COUNTIFS(C$2:C$201,C34,H$2:H$201,"&lt;="&amp;H31))</f>
        <v>6</v>
      </c>
      <c r="K31" s="9">
        <f t="shared" ca="1" si="3"/>
        <v>8.9120367192663252E-5</v>
      </c>
      <c r="L31" s="9">
        <f t="shared" ca="1" si="4"/>
        <v>0.60605266203735175</v>
      </c>
      <c r="M31" s="9">
        <f t="shared" ca="1" si="5"/>
        <v>1.8859953706851229E-3</v>
      </c>
    </row>
    <row r="32" spans="1:13" x14ac:dyDescent="0.3">
      <c r="A32" s="10">
        <v>80</v>
      </c>
      <c r="B32" s="12" t="s">
        <v>36</v>
      </c>
      <c r="C32" s="8">
        <v>3</v>
      </c>
      <c r="D32" s="8" t="s">
        <v>51</v>
      </c>
      <c r="E32" s="9">
        <v>0.47430555555555554</v>
      </c>
      <c r="F32" s="9" t="s">
        <v>113</v>
      </c>
      <c r="G32" s="9">
        <f t="shared" ca="1" si="0"/>
        <v>46194.486517824073</v>
      </c>
      <c r="H32" s="9">
        <f t="shared" ca="1" si="1"/>
        <v>46194.012212268513</v>
      </c>
      <c r="I32" s="8">
        <f t="shared" ca="1" si="2"/>
        <v>31</v>
      </c>
      <c r="J32" s="8">
        <f ca="1">IF(F32="","",COUNTIFS(C$2:C$201,C32,H$2:H$201,"&lt;="&amp;H32))</f>
        <v>7</v>
      </c>
      <c r="K32" s="9">
        <f t="shared" ca="1" si="3"/>
        <v>4.3402775190770626E-5</v>
      </c>
      <c r="L32" s="9">
        <f t="shared" ca="1" si="4"/>
        <v>0.60609606481254252</v>
      </c>
      <c r="M32" s="9">
        <f t="shared" ca="1" si="5"/>
        <v>1.9293981458758935E-3</v>
      </c>
    </row>
    <row r="33" spans="1:13" x14ac:dyDescent="0.3">
      <c r="A33" s="10">
        <v>4</v>
      </c>
      <c r="B33" s="12" t="s">
        <v>24</v>
      </c>
      <c r="C33" s="8">
        <v>3</v>
      </c>
      <c r="D33" s="8" t="s">
        <v>51</v>
      </c>
      <c r="E33" s="9">
        <v>0.41875000000000001</v>
      </c>
      <c r="F33" s="9" t="s">
        <v>113</v>
      </c>
      <c r="G33" s="9">
        <f t="shared" ca="1" si="0"/>
        <v>46194.430979166667</v>
      </c>
      <c r="H33" s="9">
        <f t="shared" ca="1" si="1"/>
        <v>46194.01222916667</v>
      </c>
      <c r="I33" s="8">
        <f t="shared" ca="1" si="2"/>
        <v>32</v>
      </c>
      <c r="J33" s="8">
        <f ca="1">IF(F33="","",COUNTIFS(C$2:C$201,C32,H$2:H$201,"&lt;="&amp;H33))</f>
        <v>8</v>
      </c>
      <c r="K33" s="9">
        <f t="shared" ca="1" si="3"/>
        <v>1.689815690042451E-5</v>
      </c>
      <c r="L33" s="9">
        <f t="shared" ca="1" si="4"/>
        <v>0.60611296296944295</v>
      </c>
      <c r="M33" s="9">
        <f t="shared" ca="1" si="5"/>
        <v>1.946296302776318E-3</v>
      </c>
    </row>
    <row r="34" spans="1:13" x14ac:dyDescent="0.3">
      <c r="A34" s="10">
        <v>5</v>
      </c>
      <c r="B34" s="12" t="s">
        <v>21</v>
      </c>
      <c r="C34" s="8">
        <v>3</v>
      </c>
      <c r="D34" s="8" t="s">
        <v>51</v>
      </c>
      <c r="E34" s="9">
        <v>0.41944444444444401</v>
      </c>
      <c r="F34" s="9" t="s">
        <v>113</v>
      </c>
      <c r="G34" s="9">
        <f t="shared" ref="G34:G58" ca="1" si="7">IF(F34&lt;&gt;"",IF(G34="",NOW(),G34),"")</f>
        <v>46194.431685416668</v>
      </c>
      <c r="H34" s="9">
        <f t="shared" ref="H34:H58" ca="1" si="8">IF(G34="","",G34-E34)</f>
        <v>46194.012240972224</v>
      </c>
      <c r="I34" s="8">
        <f t="shared" ref="I34:I58" ca="1" si="9">IF(H34="","",RANK(H34,H$2:H$171,1))</f>
        <v>33</v>
      </c>
      <c r="J34" s="8">
        <f ca="1">IF(F34="","",COUNTIFS(C$2:C$201,C33,H$2:H$201,"&lt;="&amp;H34))</f>
        <v>9</v>
      </c>
      <c r="K34" s="9">
        <f t="shared" ca="1" si="3"/>
        <v>1.1805554095190018E-5</v>
      </c>
      <c r="L34" s="9">
        <f t="shared" ca="1" si="4"/>
        <v>0.60612476852353814</v>
      </c>
      <c r="M34" s="9">
        <f t="shared" ca="1" si="5"/>
        <v>1.9581018568715081E-3</v>
      </c>
    </row>
    <row r="35" spans="1:13" x14ac:dyDescent="0.3">
      <c r="A35" s="10">
        <v>76</v>
      </c>
      <c r="B35" s="12" t="s">
        <v>53</v>
      </c>
      <c r="C35" s="8">
        <v>4</v>
      </c>
      <c r="D35" s="8" t="s">
        <v>70</v>
      </c>
      <c r="E35" s="9">
        <v>0.46597222222222201</v>
      </c>
      <c r="F35" s="9" t="s">
        <v>113</v>
      </c>
      <c r="G35" s="9">
        <f t="shared" ca="1" si="7"/>
        <v>46194.478231018518</v>
      </c>
      <c r="H35" s="9">
        <f t="shared" ca="1" si="8"/>
        <v>46194.012258796298</v>
      </c>
      <c r="I35" s="8">
        <f t="shared" ca="1" si="9"/>
        <v>34</v>
      </c>
      <c r="J35" s="8">
        <f ca="1">IF(F35="","",COUNTIFS(C$2:C$201,C35,H$2:H$201,"&lt;="&amp;H35))</f>
        <v>1</v>
      </c>
      <c r="K35" s="9">
        <f t="shared" ref="K35:K58" ca="1" si="10">H35-H34</f>
        <v>1.782407343853265E-5</v>
      </c>
      <c r="L35" s="9">
        <f t="shared" ref="L35:L58" ca="1" si="11">K35+L34</f>
        <v>0.60614259259697667</v>
      </c>
      <c r="M35" s="9">
        <f t="shared" ref="M35:M58" ca="1" si="12">M34+K35</f>
        <v>1.9759259303100407E-3</v>
      </c>
    </row>
    <row r="36" spans="1:13" x14ac:dyDescent="0.3">
      <c r="A36" s="10">
        <v>37</v>
      </c>
      <c r="B36" s="12" t="s">
        <v>55</v>
      </c>
      <c r="C36" s="8">
        <v>3</v>
      </c>
      <c r="D36" s="8" t="s">
        <v>56</v>
      </c>
      <c r="E36" s="9">
        <v>0.44027777777777799</v>
      </c>
      <c r="F36" s="9" t="s">
        <v>113</v>
      </c>
      <c r="G36" s="9">
        <f t="shared" ca="1" si="7"/>
        <v>46194.452549189817</v>
      </c>
      <c r="H36" s="9">
        <f t="shared" ca="1" si="8"/>
        <v>46194.012271412037</v>
      </c>
      <c r="I36" s="8">
        <f t="shared" ca="1" si="9"/>
        <v>35</v>
      </c>
      <c r="J36" s="8">
        <f ca="1">IF(F36="","",COUNTIFS(C$2:C$201,C39,H$2:H$201,"&lt;="&amp;H36))</f>
        <v>3</v>
      </c>
      <c r="K36" s="9">
        <f t="shared" ca="1" si="10"/>
        <v>1.2615739251486957E-5</v>
      </c>
      <c r="L36" s="9">
        <f t="shared" ca="1" si="11"/>
        <v>0.60615520833622816</v>
      </c>
      <c r="M36" s="9">
        <f t="shared" ca="1" si="12"/>
        <v>1.9885416695615277E-3</v>
      </c>
    </row>
    <row r="37" spans="1:13" x14ac:dyDescent="0.3">
      <c r="A37" s="10">
        <v>2</v>
      </c>
      <c r="B37" s="12" t="s">
        <v>13</v>
      </c>
      <c r="C37" s="8">
        <v>1</v>
      </c>
      <c r="D37" s="8" t="s">
        <v>51</v>
      </c>
      <c r="E37" s="9">
        <v>0.41736111111111113</v>
      </c>
      <c r="F37" s="9" t="s">
        <v>113</v>
      </c>
      <c r="G37" s="9">
        <f t="shared" ca="1" si="7"/>
        <v>46194.429641319446</v>
      </c>
      <c r="H37" s="9">
        <f t="shared" ca="1" si="8"/>
        <v>46194.012280208335</v>
      </c>
      <c r="I37" s="8">
        <f t="shared" ca="1" si="9"/>
        <v>36</v>
      </c>
      <c r="J37" s="8">
        <f ca="1">IF(F37="","",COUNTIFS(C$2:C$201,C42,H$2:H$201,"&lt;="&amp;H37))</f>
        <v>10</v>
      </c>
      <c r="K37" s="9">
        <f t="shared" ca="1" si="10"/>
        <v>8.7962980614975095E-6</v>
      </c>
      <c r="L37" s="9">
        <f t="shared" ca="1" si="11"/>
        <v>0.60616400463428965</v>
      </c>
      <c r="M37" s="9">
        <f t="shared" ca="1" si="12"/>
        <v>1.9973379676230252E-3</v>
      </c>
    </row>
    <row r="38" spans="1:13" x14ac:dyDescent="0.3">
      <c r="A38" s="10">
        <v>73</v>
      </c>
      <c r="B38" s="12" t="s">
        <v>116</v>
      </c>
      <c r="C38" s="8">
        <v>4</v>
      </c>
      <c r="D38" s="8" t="s">
        <v>115</v>
      </c>
      <c r="E38" s="9">
        <v>0.46388888888888902</v>
      </c>
      <c r="F38" s="9" t="s">
        <v>113</v>
      </c>
      <c r="G38" s="9">
        <f t="shared" ca="1" si="7"/>
        <v>46194.476186921296</v>
      </c>
      <c r="H38" s="9">
        <f t="shared" ca="1" si="8"/>
        <v>46194.012298032409</v>
      </c>
      <c r="I38" s="8">
        <f t="shared" ca="1" si="9"/>
        <v>37</v>
      </c>
      <c r="J38" s="8">
        <f ca="1">IF(F38="","",COUNTIFS(C$2:C$201,#REF!,H$2:H$201,"&lt;="&amp;H38))</f>
        <v>0</v>
      </c>
      <c r="K38" s="9">
        <f t="shared" ca="1" si="10"/>
        <v>1.782407343853265E-5</v>
      </c>
      <c r="L38" s="9">
        <f t="shared" ca="1" si="11"/>
        <v>0.60618182870772819</v>
      </c>
      <c r="M38" s="9">
        <f t="shared" ca="1" si="12"/>
        <v>2.0151620410615578E-3</v>
      </c>
    </row>
    <row r="39" spans="1:13" x14ac:dyDescent="0.3">
      <c r="A39" s="10">
        <v>19</v>
      </c>
      <c r="B39" s="12" t="s">
        <v>42</v>
      </c>
      <c r="C39" s="8" t="s">
        <v>32</v>
      </c>
      <c r="D39" s="8" t="s">
        <v>56</v>
      </c>
      <c r="E39" s="9">
        <v>0.42847222222222198</v>
      </c>
      <c r="F39" s="9" t="s">
        <v>113</v>
      </c>
      <c r="G39" s="9">
        <f t="shared" ca="1" si="7"/>
        <v>46194.440795138886</v>
      </c>
      <c r="H39" s="9">
        <f t="shared" ca="1" si="8"/>
        <v>46194.012322916664</v>
      </c>
      <c r="I39" s="8">
        <f t="shared" ca="1" si="9"/>
        <v>38</v>
      </c>
      <c r="J39" s="8">
        <f ca="1">IF(F39="","",COUNTIFS(C$2:C$201,C40,H$2:H$201,"&lt;="&amp;H39))</f>
        <v>10</v>
      </c>
      <c r="K39" s="9">
        <f t="shared" ca="1" si="10"/>
        <v>2.4884255253709853E-5</v>
      </c>
      <c r="L39" s="9">
        <f t="shared" ca="1" si="11"/>
        <v>0.6062067129629819</v>
      </c>
      <c r="M39" s="9">
        <f t="shared" ca="1" si="12"/>
        <v>2.0400462963152677E-3</v>
      </c>
    </row>
    <row r="40" spans="1:13" x14ac:dyDescent="0.3">
      <c r="A40" s="10">
        <v>39</v>
      </c>
      <c r="B40" s="12" t="s">
        <v>57</v>
      </c>
      <c r="C40" s="8">
        <v>3</v>
      </c>
      <c r="D40" s="8" t="s">
        <v>56</v>
      </c>
      <c r="E40" s="9">
        <v>0.44166666666666698</v>
      </c>
      <c r="F40" s="9" t="s">
        <v>113</v>
      </c>
      <c r="G40" s="9">
        <f t="shared" ca="1" si="7"/>
        <v>46194.454015162039</v>
      </c>
      <c r="H40" s="9">
        <f t="shared" ca="1" si="8"/>
        <v>46194.012348495373</v>
      </c>
      <c r="I40" s="8">
        <f t="shared" ca="1" si="9"/>
        <v>39</v>
      </c>
      <c r="J40" s="8">
        <f ca="1">IF(F40="","",COUNTIFS(C$2:C$201,C43,H$2:H$201,"&lt;="&amp;H40))</f>
        <v>1</v>
      </c>
      <c r="K40" s="9">
        <f t="shared" ca="1" si="10"/>
        <v>2.557870902819559E-5</v>
      </c>
      <c r="L40" s="9">
        <f t="shared" ca="1" si="11"/>
        <v>0.60623229167201009</v>
      </c>
      <c r="M40" s="9">
        <f t="shared" ca="1" si="12"/>
        <v>2.0656250053434633E-3</v>
      </c>
    </row>
    <row r="41" spans="1:13" x14ac:dyDescent="0.3">
      <c r="A41" s="10">
        <v>18</v>
      </c>
      <c r="B41" s="12" t="s">
        <v>11</v>
      </c>
      <c r="C41" s="8" t="s">
        <v>32</v>
      </c>
      <c r="D41" s="8" t="s">
        <v>80</v>
      </c>
      <c r="E41" s="9">
        <v>0.42777777777777798</v>
      </c>
      <c r="F41" s="9" t="s">
        <v>113</v>
      </c>
      <c r="G41" s="9">
        <f t="shared" ca="1" si="7"/>
        <v>46194.44030185185</v>
      </c>
      <c r="H41" s="9">
        <f t="shared" ca="1" si="8"/>
        <v>46194.012524074074</v>
      </c>
      <c r="I41" s="8">
        <f t="shared" ca="1" si="9"/>
        <v>40</v>
      </c>
      <c r="J41" s="8">
        <f ca="1">IF(F41="","",COUNTIFS(C$2:C$201,C42,H$2:H$201,"&lt;="&amp;H41))</f>
        <v>11</v>
      </c>
      <c r="K41" s="9">
        <f t="shared" ca="1" si="10"/>
        <v>1.7557870160089806E-4</v>
      </c>
      <c r="L41" s="9">
        <f t="shared" ca="1" si="11"/>
        <v>0.60640787037361099</v>
      </c>
      <c r="M41" s="9">
        <f t="shared" ca="1" si="12"/>
        <v>2.2412037069443613E-3</v>
      </c>
    </row>
    <row r="42" spans="1:13" x14ac:dyDescent="0.3">
      <c r="A42" s="10">
        <v>43</v>
      </c>
      <c r="B42" s="12" t="s">
        <v>23</v>
      </c>
      <c r="C42" s="8">
        <v>3</v>
      </c>
      <c r="D42" s="8" t="s">
        <v>56</v>
      </c>
      <c r="E42" s="9">
        <v>0.44374999999999998</v>
      </c>
      <c r="F42" s="9" t="s">
        <v>113</v>
      </c>
      <c r="G42" s="9">
        <f t="shared" ca="1" si="7"/>
        <v>46194.456289583337</v>
      </c>
      <c r="H42" s="9">
        <f t="shared" ca="1" si="8"/>
        <v>46194.012539583338</v>
      </c>
      <c r="I42" s="8">
        <f t="shared" ca="1" si="9"/>
        <v>41</v>
      </c>
      <c r="J42" s="8">
        <f ca="1">IF(F42="","",COUNTIFS(C$2:C$201,C45,H$2:H$201,"&lt;="&amp;H42))</f>
        <v>12</v>
      </c>
      <c r="K42" s="9">
        <f t="shared" ca="1" si="10"/>
        <v>1.5509263903368264E-5</v>
      </c>
      <c r="L42" s="9">
        <f t="shared" ca="1" si="11"/>
        <v>0.60642337963751436</v>
      </c>
      <c r="M42" s="9">
        <f t="shared" ca="1" si="12"/>
        <v>2.2567129708477296E-3</v>
      </c>
    </row>
    <row r="43" spans="1:13" x14ac:dyDescent="0.3">
      <c r="A43" s="10">
        <v>16</v>
      </c>
      <c r="B43" s="12" t="s">
        <v>100</v>
      </c>
      <c r="C43" s="8" t="s">
        <v>44</v>
      </c>
      <c r="D43" s="8" t="s">
        <v>81</v>
      </c>
      <c r="E43" s="9">
        <v>0.42638888888888898</v>
      </c>
      <c r="F43" s="9" t="s">
        <v>113</v>
      </c>
      <c r="G43" s="9">
        <f t="shared" ca="1" si="7"/>
        <v>46194.438930671298</v>
      </c>
      <c r="H43" s="9">
        <f t="shared" ca="1" si="8"/>
        <v>46194.012541782409</v>
      </c>
      <c r="I43" s="8">
        <f t="shared" ca="1" si="9"/>
        <v>42</v>
      </c>
      <c r="J43" s="8">
        <f ca="1">IF(F43="","",COUNTIFS(C$2:C$201,C44,H$2:H$201,"&lt;="&amp;H43))</f>
        <v>11</v>
      </c>
      <c r="K43" s="9">
        <f t="shared" ca="1" si="10"/>
        <v>2.1990708773955703E-6</v>
      </c>
      <c r="L43" s="9">
        <f t="shared" ca="1" si="11"/>
        <v>0.60642557870839175</v>
      </c>
      <c r="M43" s="9">
        <f t="shared" ca="1" si="12"/>
        <v>2.2589120417251252E-3</v>
      </c>
    </row>
    <row r="44" spans="1:13" x14ac:dyDescent="0.3">
      <c r="A44" s="10">
        <v>60</v>
      </c>
      <c r="B44" s="12" t="s">
        <v>82</v>
      </c>
      <c r="C44" s="8">
        <v>2</v>
      </c>
      <c r="D44" s="8" t="s">
        <v>60</v>
      </c>
      <c r="E44" s="9">
        <v>0.45486111111111099</v>
      </c>
      <c r="F44" s="9" t="s">
        <v>113</v>
      </c>
      <c r="G44" s="9">
        <f t="shared" ca="1" si="7"/>
        <v>46194.467408680553</v>
      </c>
      <c r="H44" s="9">
        <f t="shared" ca="1" si="8"/>
        <v>46194.012547569444</v>
      </c>
      <c r="I44" s="8">
        <f t="shared" ca="1" si="9"/>
        <v>43</v>
      </c>
      <c r="J44" s="8">
        <f ca="1">IF(F44="","",COUNTIFS(C$2:C$201,C44,H$2:H$201,"&lt;="&amp;H44))</f>
        <v>12</v>
      </c>
      <c r="K44" s="9">
        <f t="shared" ca="1" si="10"/>
        <v>5.7870347518473864E-6</v>
      </c>
      <c r="L44" s="9">
        <f t="shared" ca="1" si="11"/>
        <v>0.6064313657431436</v>
      </c>
      <c r="M44" s="9">
        <f t="shared" ca="1" si="12"/>
        <v>2.2646990764769726E-3</v>
      </c>
    </row>
    <row r="45" spans="1:13" x14ac:dyDescent="0.3">
      <c r="A45" s="10">
        <v>46</v>
      </c>
      <c r="B45" s="12" t="s">
        <v>65</v>
      </c>
      <c r="C45" s="8">
        <v>3</v>
      </c>
      <c r="D45" s="8" t="s">
        <v>56</v>
      </c>
      <c r="E45" s="9">
        <v>0.44513888888888897</v>
      </c>
      <c r="F45" s="9" t="s">
        <v>113</v>
      </c>
      <c r="G45" s="9">
        <f t="shared" ca="1" si="7"/>
        <v>46194.457787847219</v>
      </c>
      <c r="H45" s="9">
        <f t="shared" ca="1" si="8"/>
        <v>46194.012648958327</v>
      </c>
      <c r="I45" s="8">
        <f t="shared" ca="1" si="9"/>
        <v>44</v>
      </c>
      <c r="J45" s="8">
        <f ca="1">IF(F45="","",COUNTIFS(C$2:C$201,#REF!,H$2:H$201,"&lt;="&amp;H45))</f>
        <v>0</v>
      </c>
      <c r="K45" s="9">
        <f t="shared" ca="1" si="10"/>
        <v>1.0138888319488615E-4</v>
      </c>
      <c r="L45" s="9">
        <f t="shared" ca="1" si="11"/>
        <v>0.60653275462633849</v>
      </c>
      <c r="M45" s="9">
        <f t="shared" ca="1" si="12"/>
        <v>2.3660879596718587E-3</v>
      </c>
    </row>
    <row r="46" spans="1:13" x14ac:dyDescent="0.3">
      <c r="A46" s="10">
        <v>23</v>
      </c>
      <c r="B46" s="12" t="s">
        <v>31</v>
      </c>
      <c r="C46" s="8" t="s">
        <v>37</v>
      </c>
      <c r="D46" s="8" t="s">
        <v>37</v>
      </c>
      <c r="E46" s="9">
        <v>0.43125000000000002</v>
      </c>
      <c r="F46" s="9" t="s">
        <v>113</v>
      </c>
      <c r="G46" s="9">
        <f t="shared" ca="1" si="7"/>
        <v>46194.443964351849</v>
      </c>
      <c r="H46" s="9">
        <f t="shared" ca="1" si="8"/>
        <v>46194.012714351848</v>
      </c>
      <c r="I46" s="8">
        <f t="shared" ca="1" si="9"/>
        <v>45</v>
      </c>
      <c r="J46" s="8">
        <f ca="1">IF(F46="","",COUNTIFS(C$2:C$201,C46,H$2:H$201,"&lt;="&amp;H46))</f>
        <v>4</v>
      </c>
      <c r="K46" s="9">
        <f t="shared" ca="1" si="10"/>
        <v>6.53935203445144E-5</v>
      </c>
      <c r="L46" s="9">
        <f t="shared" ca="1" si="11"/>
        <v>0.606598148146683</v>
      </c>
      <c r="M46" s="9">
        <f t="shared" ca="1" si="12"/>
        <v>2.4314814800163731E-3</v>
      </c>
    </row>
    <row r="47" spans="1:13" x14ac:dyDescent="0.3">
      <c r="A47" s="10">
        <v>52</v>
      </c>
      <c r="B47" s="12" t="s">
        <v>47</v>
      </c>
      <c r="C47" s="8">
        <v>2</v>
      </c>
      <c r="D47" s="8" t="s">
        <v>77</v>
      </c>
      <c r="E47" s="9">
        <v>0.44750000000000001</v>
      </c>
      <c r="F47" s="9" t="s">
        <v>113</v>
      </c>
      <c r="G47" s="9">
        <f t="shared" ca="1" si="7"/>
        <v>46194.460232407408</v>
      </c>
      <c r="H47" s="36">
        <f t="shared" ca="1" si="8"/>
        <v>46194.012732407406</v>
      </c>
      <c r="I47" s="8">
        <f t="shared" ca="1" si="9"/>
        <v>46</v>
      </c>
      <c r="J47" s="8">
        <f ca="1">IF(F47="","",COUNTIFS(C$2:C$201,C47,H$2:H$201,"&lt;="&amp;H47))</f>
        <v>13</v>
      </c>
      <c r="K47" s="9">
        <f t="shared" ca="1" si="10"/>
        <v>1.8055558030027896E-5</v>
      </c>
      <c r="L47" s="9">
        <f t="shared" ca="1" si="11"/>
        <v>0.60661620370471303</v>
      </c>
      <c r="M47" s="9">
        <f t="shared" ca="1" si="12"/>
        <v>2.449537038046401E-3</v>
      </c>
    </row>
    <row r="48" spans="1:13" x14ac:dyDescent="0.3">
      <c r="A48" s="10">
        <v>7</v>
      </c>
      <c r="B48" s="12" t="s">
        <v>25</v>
      </c>
      <c r="C48" s="8">
        <v>4</v>
      </c>
      <c r="D48" s="8" t="s">
        <v>51</v>
      </c>
      <c r="E48" s="9">
        <v>0.420833333333333</v>
      </c>
      <c r="F48" s="9" t="s">
        <v>113</v>
      </c>
      <c r="G48" s="9">
        <f t="shared" ca="1" si="7"/>
        <v>46194.433645949073</v>
      </c>
      <c r="H48" s="9">
        <f t="shared" ca="1" si="8"/>
        <v>46194.012812615743</v>
      </c>
      <c r="I48" s="8">
        <f t="shared" ca="1" si="9"/>
        <v>47</v>
      </c>
      <c r="J48" s="8">
        <f ca="1">IF(F48="","",COUNTIFS(C$2:C$201,C46,H$2:H$201,"&lt;="&amp;H48))</f>
        <v>4</v>
      </c>
      <c r="K48" s="9">
        <f t="shared" ca="1" si="10"/>
        <v>8.0208337749354541E-5</v>
      </c>
      <c r="L48" s="9">
        <f t="shared" ca="1" si="11"/>
        <v>0.60669641204246239</v>
      </c>
      <c r="M48" s="9">
        <f t="shared" ca="1" si="12"/>
        <v>2.5297453757957555E-3</v>
      </c>
    </row>
    <row r="49" spans="1:13" x14ac:dyDescent="0.3">
      <c r="A49" s="10">
        <v>27</v>
      </c>
      <c r="B49" s="12" t="s">
        <v>86</v>
      </c>
      <c r="C49" s="8" t="s">
        <v>37</v>
      </c>
      <c r="D49" s="8" t="s">
        <v>56</v>
      </c>
      <c r="E49" s="9">
        <v>0.43333333333333335</v>
      </c>
      <c r="F49" s="9" t="s">
        <v>113</v>
      </c>
      <c r="G49" s="9">
        <f t="shared" ca="1" si="7"/>
        <v>46194.446172800926</v>
      </c>
      <c r="H49" s="9">
        <f t="shared" ca="1" si="8"/>
        <v>46194.012839467592</v>
      </c>
      <c r="I49" s="8">
        <f t="shared" ca="1" si="9"/>
        <v>48</v>
      </c>
      <c r="J49" s="8">
        <f ca="1">IF(F49="","",COUNTIFS(C$2:C$201,C49,H$2:H$201,"&lt;="&amp;H49))</f>
        <v>5</v>
      </c>
      <c r="K49" s="9">
        <f t="shared" ca="1" si="10"/>
        <v>2.6851848815567791E-5</v>
      </c>
      <c r="L49" s="9">
        <f t="shared" ca="1" si="11"/>
        <v>0.60672326389127795</v>
      </c>
      <c r="M49" s="9">
        <f t="shared" ca="1" si="12"/>
        <v>2.5565972246113233E-3</v>
      </c>
    </row>
    <row r="50" spans="1:13" x14ac:dyDescent="0.3">
      <c r="A50" s="10">
        <v>42</v>
      </c>
      <c r="B50" s="12" t="s">
        <v>61</v>
      </c>
      <c r="C50" s="8">
        <v>3</v>
      </c>
      <c r="D50" s="8" t="s">
        <v>62</v>
      </c>
      <c r="E50" s="9">
        <v>0.44305555555555498</v>
      </c>
      <c r="F50" s="9" t="s">
        <v>113</v>
      </c>
      <c r="G50" s="9">
        <f t="shared" ca="1" si="7"/>
        <v>46194.455942476852</v>
      </c>
      <c r="H50" s="9">
        <f t="shared" ca="1" si="8"/>
        <v>46194.012886921293</v>
      </c>
      <c r="I50" s="8">
        <f t="shared" ca="1" si="9"/>
        <v>49</v>
      </c>
      <c r="J50" s="8">
        <f ca="1">IF(F50="","",COUNTIFS(C$2:C$201,C53,H$2:H$201,"&lt;="&amp;H50))</f>
        <v>5</v>
      </c>
      <c r="K50" s="9">
        <f t="shared" ca="1" si="10"/>
        <v>4.7453700972255319E-5</v>
      </c>
      <c r="L50" s="9">
        <f t="shared" ca="1" si="11"/>
        <v>0.60677071759225021</v>
      </c>
      <c r="M50" s="9">
        <f t="shared" ca="1" si="12"/>
        <v>2.6040509255835786E-3</v>
      </c>
    </row>
    <row r="51" spans="1:13" x14ac:dyDescent="0.3">
      <c r="A51" s="10">
        <v>12</v>
      </c>
      <c r="B51" s="12" t="s">
        <v>46</v>
      </c>
      <c r="C51" s="8" t="s">
        <v>44</v>
      </c>
      <c r="D51" s="8" t="s">
        <v>37</v>
      </c>
      <c r="E51" s="9">
        <v>0.42361111111111099</v>
      </c>
      <c r="F51" s="9" t="s">
        <v>113</v>
      </c>
      <c r="G51" s="9">
        <f t="shared" ca="1" si="7"/>
        <v>46194.436767129628</v>
      </c>
      <c r="H51" s="9">
        <f t="shared" ca="1" si="8"/>
        <v>46194.013156018518</v>
      </c>
      <c r="I51" s="8">
        <f t="shared" ca="1" si="9"/>
        <v>50</v>
      </c>
      <c r="J51" s="8">
        <f ca="1">IF(F51="","",COUNTIFS(C$2:C$201,C51,H$2:H$201,"&lt;="&amp;H51))</f>
        <v>3</v>
      </c>
      <c r="K51" s="9">
        <f t="shared" ca="1" si="10"/>
        <v>2.6909722510026768E-4</v>
      </c>
      <c r="L51" s="9">
        <f t="shared" ca="1" si="11"/>
        <v>0.60703981481735048</v>
      </c>
      <c r="M51" s="9">
        <f t="shared" ca="1" si="12"/>
        <v>2.8731481506838463E-3</v>
      </c>
    </row>
    <row r="52" spans="1:13" x14ac:dyDescent="0.3">
      <c r="A52" s="10">
        <v>77</v>
      </c>
      <c r="B52" s="12" t="s">
        <v>58</v>
      </c>
      <c r="C52" s="8">
        <v>3</v>
      </c>
      <c r="D52" s="8" t="s">
        <v>51</v>
      </c>
      <c r="E52" s="9">
        <v>0.46666666666666701</v>
      </c>
      <c r="F52" s="9" t="s">
        <v>113</v>
      </c>
      <c r="G52" s="9">
        <f t="shared" ca="1" si="7"/>
        <v>46194.479825000002</v>
      </c>
      <c r="H52" s="9">
        <f t="shared" ca="1" si="8"/>
        <v>46194.013158333335</v>
      </c>
      <c r="I52" s="8">
        <f t="shared" ca="1" si="9"/>
        <v>51</v>
      </c>
      <c r="J52" s="8">
        <f ca="1">IF(F52="","",COUNTIFS(C$2:C$201,C52,H$2:H$201,"&lt;="&amp;H52))</f>
        <v>15</v>
      </c>
      <c r="K52" s="9">
        <f t="shared" ca="1" si="10"/>
        <v>2.3148168111220002E-6</v>
      </c>
      <c r="L52" s="9">
        <f t="shared" ca="1" si="11"/>
        <v>0.6070421296341616</v>
      </c>
      <c r="M52" s="9">
        <f t="shared" ca="1" si="12"/>
        <v>2.8754629674949683E-3</v>
      </c>
    </row>
    <row r="53" spans="1:13" x14ac:dyDescent="0.3">
      <c r="A53" s="10">
        <v>31</v>
      </c>
      <c r="B53" s="19" t="s">
        <v>28</v>
      </c>
      <c r="C53" s="20" t="s">
        <v>37</v>
      </c>
      <c r="D53" s="20" t="s">
        <v>95</v>
      </c>
      <c r="E53" s="9">
        <v>0.436805555555556</v>
      </c>
      <c r="F53" s="9" t="s">
        <v>113</v>
      </c>
      <c r="G53" s="9">
        <f t="shared" ca="1" si="7"/>
        <v>46194.450024537036</v>
      </c>
      <c r="H53" s="9">
        <f t="shared" ca="1" si="8"/>
        <v>46194.013218981483</v>
      </c>
      <c r="I53" s="8">
        <f t="shared" ca="1" si="9"/>
        <v>52</v>
      </c>
      <c r="J53" s="8">
        <f ca="1">IF(F53="","",COUNTIFS(C$2:C$201,C53,H$2:H$201,"&lt;="&amp;H53))</f>
        <v>6</v>
      </c>
      <c r="K53" s="9">
        <f t="shared" ca="1" si="10"/>
        <v>6.0648148064501584E-5</v>
      </c>
      <c r="L53" s="9">
        <f t="shared" ca="1" si="11"/>
        <v>0.6071027777822261</v>
      </c>
      <c r="M53" s="9">
        <f t="shared" ca="1" si="12"/>
        <v>2.9361111155594699E-3</v>
      </c>
    </row>
    <row r="54" spans="1:13" x14ac:dyDescent="0.3">
      <c r="A54" s="10">
        <v>83</v>
      </c>
      <c r="B54" s="12" t="s">
        <v>26</v>
      </c>
      <c r="C54" s="8">
        <v>4</v>
      </c>
      <c r="D54" s="8" t="s">
        <v>51</v>
      </c>
      <c r="E54" s="9">
        <v>0.47083333333333299</v>
      </c>
      <c r="F54" s="9" t="s">
        <v>113</v>
      </c>
      <c r="G54" s="9">
        <f t="shared" ca="1" si="7"/>
        <v>46194.484172337965</v>
      </c>
      <c r="H54" s="9">
        <f t="shared" ca="1" si="8"/>
        <v>46194.013339004632</v>
      </c>
      <c r="I54" s="8">
        <f t="shared" ca="1" si="9"/>
        <v>53</v>
      </c>
      <c r="J54" s="8">
        <f ca="1">IF(F54="","",COUNTIFS(C$2:C$201,C53,H$2:H$201,"&lt;="&amp;H54))</f>
        <v>6</v>
      </c>
      <c r="K54" s="9">
        <f t="shared" ca="1" si="10"/>
        <v>1.2002314906567335E-4</v>
      </c>
      <c r="L54" s="9">
        <f t="shared" ca="1" si="11"/>
        <v>0.60722280093129177</v>
      </c>
      <c r="M54" s="9">
        <f t="shared" ca="1" si="12"/>
        <v>3.0561342646251433E-3</v>
      </c>
    </row>
    <row r="55" spans="1:13" x14ac:dyDescent="0.3">
      <c r="A55" s="10">
        <v>24</v>
      </c>
      <c r="B55" s="12" t="s">
        <v>29</v>
      </c>
      <c r="C55" s="8" t="s">
        <v>37</v>
      </c>
      <c r="D55" s="8" t="s">
        <v>56</v>
      </c>
      <c r="E55" s="9">
        <v>0.43194444444444402</v>
      </c>
      <c r="F55" s="9" t="s">
        <v>113</v>
      </c>
      <c r="G55" s="9">
        <f t="shared" ca="1" si="7"/>
        <v>46194.445873842589</v>
      </c>
      <c r="H55" s="9">
        <f t="shared" ca="1" si="8"/>
        <v>46194.013929398148</v>
      </c>
      <c r="I55" s="8">
        <f t="shared" ca="1" si="9"/>
        <v>54</v>
      </c>
      <c r="J55" s="8">
        <f ca="1">IF(F55="","",COUNTIFS(C$2:C$201,C55,H$2:H$201,"&lt;="&amp;H55))</f>
        <v>7</v>
      </c>
      <c r="K55" s="9">
        <f t="shared" ca="1" si="10"/>
        <v>5.9039351617684588E-4</v>
      </c>
      <c r="L55" s="9">
        <f t="shared" ca="1" si="11"/>
        <v>0.60781319444746862</v>
      </c>
      <c r="M55" s="9">
        <f t="shared" ca="1" si="12"/>
        <v>3.6465277808019891E-3</v>
      </c>
    </row>
    <row r="56" spans="1:13" x14ac:dyDescent="0.3">
      <c r="A56" s="10">
        <v>15</v>
      </c>
      <c r="B56" s="12" t="s">
        <v>48</v>
      </c>
      <c r="C56" s="8" t="s">
        <v>44</v>
      </c>
      <c r="D56" s="8" t="s">
        <v>78</v>
      </c>
      <c r="E56" s="9">
        <v>0.42569444444444399</v>
      </c>
      <c r="F56" s="9" t="s">
        <v>113</v>
      </c>
      <c r="G56" s="9">
        <f t="shared" ca="1" si="7"/>
        <v>46194.439710416664</v>
      </c>
      <c r="H56" s="9">
        <f t="shared" ca="1" si="8"/>
        <v>46194.014015972221</v>
      </c>
      <c r="I56" s="8">
        <f t="shared" ca="1" si="9"/>
        <v>55</v>
      </c>
      <c r="J56" s="8">
        <f ca="1">IF(F56="","",COUNTIFS(C$2:C$201,C56,H$2:H$201,"&lt;="&amp;H56))</f>
        <v>4</v>
      </c>
      <c r="K56" s="9">
        <f t="shared" ca="1" si="10"/>
        <v>8.6574073066003621E-5</v>
      </c>
      <c r="L56" s="9">
        <f t="shared" ca="1" si="11"/>
        <v>0.60789976852053462</v>
      </c>
      <c r="M56" s="9">
        <f t="shared" ca="1" si="12"/>
        <v>3.7331018538679928E-3</v>
      </c>
    </row>
    <row r="57" spans="1:13" x14ac:dyDescent="0.3">
      <c r="A57" s="10">
        <v>14</v>
      </c>
      <c r="B57" s="12" t="s">
        <v>27</v>
      </c>
      <c r="C57" s="8" t="s">
        <v>44</v>
      </c>
      <c r="D57" s="8" t="s">
        <v>95</v>
      </c>
      <c r="E57" s="9">
        <v>0.42499999999999999</v>
      </c>
      <c r="F57" s="9" t="s">
        <v>113</v>
      </c>
      <c r="G57" s="9">
        <f t="shared" ca="1" si="7"/>
        <v>46194.440346643518</v>
      </c>
      <c r="H57" s="9">
        <f t="shared" ca="1" si="8"/>
        <v>46194.015346643515</v>
      </c>
      <c r="I57" s="8">
        <f t="shared" ca="1" si="9"/>
        <v>56</v>
      </c>
      <c r="J57" s="8">
        <f ca="1">IF(F57="","",COUNTIFS(C$2:C$201,C57,H$2:H$201,"&lt;="&amp;H57))</f>
        <v>5</v>
      </c>
      <c r="K57" s="9">
        <f t="shared" ca="1" si="10"/>
        <v>1.330671293544583E-3</v>
      </c>
      <c r="L57" s="9">
        <f t="shared" ca="1" si="11"/>
        <v>0.60923043981407921</v>
      </c>
      <c r="M57" s="9">
        <f t="shared" ca="1" si="12"/>
        <v>5.0637731474125758E-3</v>
      </c>
    </row>
    <row r="58" spans="1:13" x14ac:dyDescent="0.3">
      <c r="A58" s="10">
        <v>11</v>
      </c>
      <c r="B58" s="12" t="s">
        <v>43</v>
      </c>
      <c r="C58" s="8" t="s">
        <v>44</v>
      </c>
      <c r="D58" s="8" t="s">
        <v>37</v>
      </c>
      <c r="E58" s="9">
        <v>0.422916666666667</v>
      </c>
      <c r="F58" s="9" t="s">
        <v>113</v>
      </c>
      <c r="G58" s="9">
        <f t="shared" ca="1" si="7"/>
        <v>46194.439621180558</v>
      </c>
      <c r="H58" s="9">
        <f t="shared" ca="1" si="8"/>
        <v>46194.016704513888</v>
      </c>
      <c r="I58" s="8">
        <f t="shared" ca="1" si="9"/>
        <v>57</v>
      </c>
      <c r="J58" s="8">
        <f ca="1">IF(F58="","",COUNTIFS(C$2:C$201,C58,H$2:H$201,"&lt;="&amp;H58))</f>
        <v>6</v>
      </c>
      <c r="K58" s="9">
        <f t="shared" ca="1" si="10"/>
        <v>1.3578703728853725E-3</v>
      </c>
      <c r="L58" s="9">
        <f t="shared" ca="1" si="11"/>
        <v>0.61058831018696458</v>
      </c>
      <c r="M58" s="9">
        <f t="shared" ca="1" si="12"/>
        <v>6.4216435202979483E-3</v>
      </c>
    </row>
    <row r="59" spans="1:13" x14ac:dyDescent="0.3">
      <c r="A59" s="3" t="s">
        <v>54</v>
      </c>
      <c r="B59" s="2">
        <v>3</v>
      </c>
      <c r="C59" s="2" t="s">
        <v>51</v>
      </c>
      <c r="D59" s="9">
        <v>0.42013888888888901</v>
      </c>
      <c r="E59" s="9"/>
      <c r="F59" s="9" t="str">
        <f t="shared" ref="F59:F69" ca="1" si="13">IF(E59&lt;&gt;"",IF(F59="",NOW(),F59),"")</f>
        <v/>
      </c>
      <c r="G59" s="9" t="str">
        <f t="shared" ref="G59:G69" ca="1" si="14">IF(F59="","",F59-D59)</f>
        <v/>
      </c>
      <c r="H59" s="8" t="str">
        <f t="shared" ref="H59:H69" ca="1" si="15">IF(G59="","",RANK(G59,G$2:G$171,1))</f>
        <v/>
      </c>
    </row>
    <row r="60" spans="1:13" x14ac:dyDescent="0.3">
      <c r="A60" s="12"/>
      <c r="B60" s="8"/>
      <c r="C60" s="8"/>
      <c r="D60" s="9">
        <v>0.421527777777778</v>
      </c>
      <c r="E60" s="9"/>
      <c r="F60" s="9" t="str">
        <f t="shared" ca="1" si="13"/>
        <v/>
      </c>
      <c r="G60" s="9" t="str">
        <f t="shared" ca="1" si="14"/>
        <v/>
      </c>
      <c r="H60" s="8" t="str">
        <f t="shared" ca="1" si="15"/>
        <v/>
      </c>
    </row>
    <row r="61" spans="1:13" x14ac:dyDescent="0.3">
      <c r="A61" s="12"/>
      <c r="B61" s="8"/>
      <c r="C61" s="8"/>
      <c r="D61" s="9">
        <v>0.422222222222222</v>
      </c>
      <c r="E61" s="9"/>
      <c r="F61" s="9" t="str">
        <f t="shared" ca="1" si="13"/>
        <v/>
      </c>
      <c r="G61" s="9" t="str">
        <f t="shared" ca="1" si="14"/>
        <v/>
      </c>
      <c r="H61" s="8" t="str">
        <f t="shared" ca="1" si="15"/>
        <v/>
      </c>
    </row>
    <row r="62" spans="1:13" x14ac:dyDescent="0.3">
      <c r="A62" s="12"/>
      <c r="B62" s="8"/>
      <c r="C62" s="8"/>
      <c r="D62" s="9">
        <v>0.43055555555555503</v>
      </c>
      <c r="E62" s="9"/>
      <c r="F62" s="9" t="str">
        <f t="shared" ca="1" si="13"/>
        <v/>
      </c>
      <c r="G62" s="9" t="str">
        <f t="shared" ca="1" si="14"/>
        <v/>
      </c>
      <c r="H62" s="8" t="str">
        <f t="shared" ca="1" si="15"/>
        <v/>
      </c>
    </row>
    <row r="63" spans="1:13" x14ac:dyDescent="0.3">
      <c r="A63" s="27" t="s">
        <v>45</v>
      </c>
      <c r="B63" s="28" t="s">
        <v>37</v>
      </c>
      <c r="C63" s="28" t="s">
        <v>37</v>
      </c>
      <c r="D63" s="26">
        <v>0.43263888888888902</v>
      </c>
      <c r="E63" s="9"/>
      <c r="F63" s="9" t="str">
        <f t="shared" ca="1" si="13"/>
        <v/>
      </c>
      <c r="G63" s="9" t="str">
        <f t="shared" ca="1" si="14"/>
        <v/>
      </c>
      <c r="H63" s="8" t="str">
        <f t="shared" ca="1" si="15"/>
        <v/>
      </c>
    </row>
    <row r="64" spans="1:13" x14ac:dyDescent="0.3">
      <c r="A64" s="27" t="s">
        <v>85</v>
      </c>
      <c r="B64" s="28" t="s">
        <v>37</v>
      </c>
      <c r="C64" s="28" t="s">
        <v>37</v>
      </c>
      <c r="D64" s="26">
        <v>0.43333333333333302</v>
      </c>
      <c r="E64" s="9"/>
      <c r="F64" s="9" t="str">
        <f t="shared" ca="1" si="13"/>
        <v/>
      </c>
      <c r="G64" s="9" t="str">
        <f t="shared" ca="1" si="14"/>
        <v/>
      </c>
      <c r="H64" s="8" t="str">
        <f t="shared" ca="1" si="15"/>
        <v/>
      </c>
    </row>
    <row r="65" spans="1:8" x14ac:dyDescent="0.3">
      <c r="A65" s="32" t="s">
        <v>88</v>
      </c>
      <c r="B65" s="33" t="s">
        <v>37</v>
      </c>
      <c r="C65" s="33" t="s">
        <v>37</v>
      </c>
      <c r="D65" s="26">
        <v>0.43541666666666701</v>
      </c>
      <c r="E65" s="9"/>
      <c r="F65" s="9" t="str">
        <f t="shared" ca="1" si="13"/>
        <v/>
      </c>
      <c r="G65" s="9" t="str">
        <f t="shared" ca="1" si="14"/>
        <v/>
      </c>
      <c r="H65" s="8" t="str">
        <f t="shared" ca="1" si="15"/>
        <v/>
      </c>
    </row>
    <row r="66" spans="1:8" x14ac:dyDescent="0.3">
      <c r="A66" s="12"/>
      <c r="B66" s="8"/>
      <c r="C66" s="8"/>
      <c r="D66" s="9">
        <v>0.438194444444444</v>
      </c>
      <c r="E66" s="9"/>
      <c r="F66" s="9" t="str">
        <f t="shared" ca="1" si="13"/>
        <v/>
      </c>
      <c r="G66" s="9" t="str">
        <f t="shared" ca="1" si="14"/>
        <v/>
      </c>
      <c r="H66" s="8" t="str">
        <f t="shared" ca="1" si="15"/>
        <v/>
      </c>
    </row>
    <row r="67" spans="1:8" x14ac:dyDescent="0.3">
      <c r="A67" s="12"/>
      <c r="B67" s="8"/>
      <c r="C67" s="8"/>
      <c r="D67" s="9">
        <v>0.43888888888888899</v>
      </c>
      <c r="E67" s="9"/>
      <c r="F67" s="9" t="str">
        <f t="shared" ca="1" si="13"/>
        <v/>
      </c>
      <c r="G67" s="9" t="str">
        <f t="shared" ca="1" si="14"/>
        <v/>
      </c>
      <c r="H67" s="8" t="str">
        <f t="shared" ca="1" si="15"/>
        <v/>
      </c>
    </row>
    <row r="68" spans="1:8" x14ac:dyDescent="0.3">
      <c r="A68" s="12"/>
      <c r="B68" s="8"/>
      <c r="C68" s="8"/>
      <c r="D68" s="9">
        <v>0.43958333333333299</v>
      </c>
      <c r="E68" s="9"/>
      <c r="F68" s="9" t="str">
        <f t="shared" ca="1" si="13"/>
        <v/>
      </c>
      <c r="G68" s="9" t="str">
        <f t="shared" ca="1" si="14"/>
        <v/>
      </c>
      <c r="H68" s="8" t="str">
        <f t="shared" ca="1" si="15"/>
        <v/>
      </c>
    </row>
    <row r="69" spans="1:8" x14ac:dyDescent="0.3">
      <c r="A69" s="27" t="s">
        <v>67</v>
      </c>
      <c r="B69" s="28">
        <v>3</v>
      </c>
      <c r="C69" s="28" t="s">
        <v>68</v>
      </c>
      <c r="D69" s="26">
        <v>0.44097222222222199</v>
      </c>
      <c r="E69" s="9"/>
      <c r="F69" s="9" t="str">
        <f t="shared" ca="1" si="13"/>
        <v/>
      </c>
      <c r="G69" s="9" t="str">
        <f t="shared" ca="1" si="14"/>
        <v/>
      </c>
      <c r="H69" s="8" t="str">
        <f t="shared" ca="1" si="15"/>
        <v/>
      </c>
    </row>
  </sheetData>
  <pageMargins left="0.7" right="0.7" top="0.75" bottom="0.75" header="0.3" footer="0.3"/>
  <pageSetup paperSize="9" scale="55" orientation="portrait" r:id="rId1"/>
  <colBreaks count="1" manualBreakCount="1">
    <brk id="12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5A60-E369-4CD8-BAB9-047328E4154C}">
  <dimension ref="A1:F19"/>
  <sheetViews>
    <sheetView zoomScaleNormal="100" workbookViewId="0">
      <selection sqref="A1:XFD16"/>
    </sheetView>
  </sheetViews>
  <sheetFormatPr baseColWidth="10" defaultRowHeight="14.4" x14ac:dyDescent="0.3"/>
  <cols>
    <col min="1" max="1" width="11.5546875" style="2"/>
    <col min="6" max="6" width="18.44140625" customWidth="1"/>
  </cols>
  <sheetData>
    <row r="1" spans="1:6" ht="40.049999999999997" customHeight="1" x14ac:dyDescent="0.3">
      <c r="A1" s="29" t="s">
        <v>111</v>
      </c>
      <c r="B1" s="30" t="s">
        <v>107</v>
      </c>
      <c r="C1" s="29" t="s">
        <v>108</v>
      </c>
      <c r="D1" s="29" t="s">
        <v>109</v>
      </c>
      <c r="E1" s="29" t="s">
        <v>110</v>
      </c>
      <c r="F1" s="7"/>
    </row>
    <row r="2" spans="1:6" ht="40.049999999999997" customHeight="1" x14ac:dyDescent="0.3">
      <c r="A2" s="8">
        <v>1</v>
      </c>
      <c r="B2" s="31" t="s">
        <v>117</v>
      </c>
      <c r="C2" s="31" t="s">
        <v>121</v>
      </c>
      <c r="D2" s="31" t="s">
        <v>118</v>
      </c>
      <c r="E2" s="31" t="s">
        <v>119</v>
      </c>
      <c r="F2" s="31" t="s">
        <v>112</v>
      </c>
    </row>
    <row r="3" spans="1:6" ht="40.049999999999997" customHeight="1" x14ac:dyDescent="0.3">
      <c r="A3" s="8">
        <v>2</v>
      </c>
      <c r="B3" s="31" t="s">
        <v>122</v>
      </c>
      <c r="C3" s="31" t="s">
        <v>123</v>
      </c>
      <c r="D3" s="31" t="s">
        <v>124</v>
      </c>
      <c r="E3" s="31" t="s">
        <v>125</v>
      </c>
      <c r="F3" s="31" t="s">
        <v>112</v>
      </c>
    </row>
    <row r="4" spans="1:6" ht="40.049999999999997" customHeight="1" x14ac:dyDescent="0.3">
      <c r="A4" s="8">
        <v>3</v>
      </c>
      <c r="B4" s="31" t="s">
        <v>126</v>
      </c>
      <c r="C4" s="31" t="s">
        <v>127</v>
      </c>
      <c r="D4" s="31" t="s">
        <v>128</v>
      </c>
      <c r="E4" s="31" t="s">
        <v>129</v>
      </c>
      <c r="F4" s="31" t="s">
        <v>112</v>
      </c>
    </row>
    <row r="5" spans="1:6" ht="40.049999999999997" customHeight="1" x14ac:dyDescent="0.3">
      <c r="A5" s="8">
        <v>4</v>
      </c>
      <c r="B5" s="31" t="s">
        <v>130</v>
      </c>
      <c r="C5" s="31" t="s">
        <v>131</v>
      </c>
      <c r="D5" s="31" t="s">
        <v>132</v>
      </c>
      <c r="E5" s="31" t="s">
        <v>133</v>
      </c>
      <c r="F5" s="31" t="s">
        <v>112</v>
      </c>
    </row>
    <row r="6" spans="1:6" ht="40.049999999999997" customHeight="1" x14ac:dyDescent="0.3">
      <c r="A6" s="8">
        <v>5</v>
      </c>
      <c r="B6" s="31" t="s">
        <v>134</v>
      </c>
      <c r="C6" s="31" t="s">
        <v>135</v>
      </c>
      <c r="D6" s="31" t="s">
        <v>136</v>
      </c>
      <c r="E6" s="31" t="s">
        <v>137</v>
      </c>
      <c r="F6" s="31" t="s">
        <v>112</v>
      </c>
    </row>
    <row r="7" spans="1:6" ht="40.049999999999997" customHeight="1" x14ac:dyDescent="0.3">
      <c r="A7" s="8">
        <v>6</v>
      </c>
      <c r="B7" s="31" t="s">
        <v>138</v>
      </c>
      <c r="C7" s="31" t="s">
        <v>139</v>
      </c>
      <c r="D7" s="31" t="s">
        <v>140</v>
      </c>
      <c r="E7" s="31" t="s">
        <v>141</v>
      </c>
      <c r="F7" s="31" t="s">
        <v>112</v>
      </c>
    </row>
    <row r="8" spans="1:6" ht="40.049999999999997" customHeight="1" x14ac:dyDescent="0.3">
      <c r="A8" s="8">
        <v>7</v>
      </c>
      <c r="B8" s="31" t="s">
        <v>142</v>
      </c>
      <c r="C8" s="31" t="s">
        <v>143</v>
      </c>
      <c r="D8" s="31" t="s">
        <v>144</v>
      </c>
      <c r="E8" s="31" t="s">
        <v>145</v>
      </c>
      <c r="F8" s="31" t="s">
        <v>112</v>
      </c>
    </row>
    <row r="9" spans="1:6" ht="40.049999999999997" customHeight="1" x14ac:dyDescent="0.3">
      <c r="A9" s="8">
        <v>8</v>
      </c>
      <c r="B9" s="31" t="s">
        <v>146</v>
      </c>
      <c r="C9" s="31" t="s">
        <v>147</v>
      </c>
      <c r="D9" s="31" t="s">
        <v>148</v>
      </c>
      <c r="E9" s="31" t="s">
        <v>149</v>
      </c>
      <c r="F9" s="31" t="s">
        <v>112</v>
      </c>
    </row>
    <row r="10" spans="1:6" ht="40.049999999999997" customHeight="1" x14ac:dyDescent="0.3">
      <c r="A10" s="8">
        <v>9</v>
      </c>
      <c r="B10" s="31" t="s">
        <v>150</v>
      </c>
      <c r="C10" s="31" t="s">
        <v>151</v>
      </c>
      <c r="D10" s="31" t="s">
        <v>152</v>
      </c>
      <c r="E10" s="31" t="s">
        <v>153</v>
      </c>
      <c r="F10" s="31" t="s">
        <v>112</v>
      </c>
    </row>
    <row r="11" spans="1:6" ht="40.049999999999997" customHeight="1" x14ac:dyDescent="0.3">
      <c r="A11" s="8">
        <v>10</v>
      </c>
      <c r="B11" s="31" t="s">
        <v>154</v>
      </c>
      <c r="C11" s="31" t="s">
        <v>155</v>
      </c>
      <c r="D11" s="31" t="s">
        <v>156</v>
      </c>
      <c r="E11" s="31" t="s">
        <v>157</v>
      </c>
      <c r="F11" s="31" t="s">
        <v>112</v>
      </c>
    </row>
    <row r="12" spans="1:6" ht="40.049999999999997" customHeight="1" x14ac:dyDescent="0.3">
      <c r="A12" s="8">
        <v>11</v>
      </c>
      <c r="B12" s="31" t="s">
        <v>158</v>
      </c>
      <c r="C12" s="31" t="s">
        <v>159</v>
      </c>
      <c r="D12" s="31" t="s">
        <v>160</v>
      </c>
      <c r="E12" s="31" t="s">
        <v>161</v>
      </c>
      <c r="F12" s="31" t="s">
        <v>112</v>
      </c>
    </row>
    <row r="13" spans="1:6" ht="40.049999999999997" customHeight="1" x14ac:dyDescent="0.3">
      <c r="A13" s="8">
        <v>12</v>
      </c>
      <c r="B13" s="31" t="s">
        <v>162</v>
      </c>
      <c r="C13" s="31" t="s">
        <v>163</v>
      </c>
      <c r="D13" s="31" t="s">
        <v>164</v>
      </c>
      <c r="E13" s="31" t="s">
        <v>165</v>
      </c>
      <c r="F13" s="31" t="s">
        <v>112</v>
      </c>
    </row>
    <row r="14" spans="1:6" ht="40.049999999999997" customHeight="1" x14ac:dyDescent="0.3">
      <c r="A14" s="8">
        <v>13</v>
      </c>
      <c r="B14" s="31" t="s">
        <v>166</v>
      </c>
      <c r="C14" s="31" t="s">
        <v>167</v>
      </c>
      <c r="D14" s="31" t="s">
        <v>168</v>
      </c>
      <c r="E14" s="31" t="s">
        <v>169</v>
      </c>
      <c r="F14" s="31" t="s">
        <v>112</v>
      </c>
    </row>
    <row r="15" spans="1:6" ht="40.049999999999997" customHeight="1" x14ac:dyDescent="0.3">
      <c r="A15" s="8">
        <v>14</v>
      </c>
      <c r="B15" s="31" t="s">
        <v>170</v>
      </c>
      <c r="C15" s="31" t="s">
        <v>171</v>
      </c>
      <c r="D15" s="31" t="s">
        <v>172</v>
      </c>
      <c r="E15" s="31" t="s">
        <v>173</v>
      </c>
      <c r="F15" s="31" t="s">
        <v>112</v>
      </c>
    </row>
    <row r="16" spans="1:6" ht="40.049999999999997" customHeight="1" x14ac:dyDescent="0.3">
      <c r="A16" s="8">
        <v>15</v>
      </c>
      <c r="B16" s="31" t="s">
        <v>120</v>
      </c>
      <c r="C16" s="31"/>
      <c r="D16" s="31"/>
      <c r="E16" s="31"/>
      <c r="F16" s="31" t="s">
        <v>112</v>
      </c>
    </row>
    <row r="17" spans="1:6" ht="30" customHeight="1" x14ac:dyDescent="0.3">
      <c r="A17" s="8"/>
      <c r="B17" s="31"/>
      <c r="C17" s="31"/>
      <c r="D17" s="31"/>
      <c r="E17" s="31"/>
      <c r="F17" s="31"/>
    </row>
    <row r="18" spans="1:6" ht="30" customHeight="1" x14ac:dyDescent="0.3">
      <c r="A18" s="8"/>
      <c r="B18" s="31"/>
      <c r="C18" s="31"/>
      <c r="D18" s="31"/>
      <c r="E18" s="31"/>
      <c r="F18" s="31"/>
    </row>
    <row r="19" spans="1:6" ht="30" customHeight="1" x14ac:dyDescent="0.3">
      <c r="A19" s="8"/>
      <c r="B19" s="31"/>
      <c r="C19" s="31"/>
      <c r="D19" s="31"/>
      <c r="E19" s="31"/>
      <c r="F19" s="31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V171"/>
  <sheetViews>
    <sheetView view="pageBreakPreview" zoomScale="60" zoomScaleNormal="79" workbookViewId="0">
      <selection activeCell="K26" sqref="K26"/>
    </sheetView>
  </sheetViews>
  <sheetFormatPr baseColWidth="10" defaultColWidth="8.88671875" defaultRowHeight="14.4" x14ac:dyDescent="0.3"/>
  <cols>
    <col min="1" max="1" width="14.5546875" style="6" customWidth="1"/>
    <col min="2" max="2" width="32.109375" style="3" customWidth="1"/>
    <col min="3" max="3" width="19.5546875" style="2" customWidth="1"/>
    <col min="4" max="4" width="22" style="2" customWidth="1"/>
    <col min="5" max="7" width="18" style="2" customWidth="1"/>
    <col min="8" max="8" width="12" style="2" customWidth="1"/>
    <col min="9" max="9" width="20" style="2" customWidth="1"/>
    <col min="10" max="10" width="18" style="2" customWidth="1"/>
    <col min="11" max="12" width="23.109375" style="2" customWidth="1"/>
    <col min="13" max="13" width="14.33203125" style="2" customWidth="1"/>
    <col min="14" max="14" width="17.5546875" style="2" bestFit="1" customWidth="1"/>
    <col min="15" max="15" width="19" style="2" bestFit="1" customWidth="1"/>
    <col min="16" max="16" width="12.5546875" style="6" customWidth="1"/>
    <col min="17" max="17" width="23" style="2" customWidth="1"/>
    <col min="18" max="18" width="32.109375" style="3" bestFit="1" customWidth="1"/>
    <col min="19" max="19" width="14.33203125" style="2" customWidth="1"/>
    <col min="20" max="20" width="13.5546875" style="2" customWidth="1"/>
    <col min="21" max="21" width="14.44140625" style="2" customWidth="1"/>
    <col min="22" max="22" width="12.5546875" style="6" customWidth="1"/>
  </cols>
  <sheetData>
    <row r="1" spans="1:22" s="2" customFormat="1" ht="60" customHeight="1" x14ac:dyDescent="0.3">
      <c r="A1" s="14" t="s">
        <v>5</v>
      </c>
      <c r="B1" s="14" t="s">
        <v>0</v>
      </c>
      <c r="C1" s="14" t="s">
        <v>1</v>
      </c>
      <c r="D1" s="14" t="s">
        <v>50</v>
      </c>
      <c r="E1" s="15" t="s">
        <v>8</v>
      </c>
      <c r="F1" s="15" t="s">
        <v>40</v>
      </c>
      <c r="G1" s="15" t="s">
        <v>7</v>
      </c>
      <c r="H1" s="14" t="s">
        <v>10</v>
      </c>
      <c r="I1" s="14" t="s">
        <v>2</v>
      </c>
      <c r="J1" s="14" t="s">
        <v>3</v>
      </c>
      <c r="K1" s="14" t="s">
        <v>4</v>
      </c>
      <c r="L1" s="14" t="s">
        <v>39</v>
      </c>
      <c r="M1" s="15" t="s">
        <v>38</v>
      </c>
      <c r="N1" s="15" t="s">
        <v>41</v>
      </c>
      <c r="O1" s="15" t="s">
        <v>97</v>
      </c>
      <c r="P1" s="8" t="s">
        <v>174</v>
      </c>
      <c r="Q1" s="15" t="s">
        <v>175</v>
      </c>
      <c r="R1" s="15" t="s">
        <v>6</v>
      </c>
      <c r="S1" s="15" t="s">
        <v>1</v>
      </c>
      <c r="T1" s="15" t="s">
        <v>98</v>
      </c>
      <c r="U1" s="15" t="s">
        <v>9</v>
      </c>
      <c r="V1" s="8" t="s">
        <v>174</v>
      </c>
    </row>
    <row r="2" spans="1:22" ht="19.95" customHeight="1" x14ac:dyDescent="0.3">
      <c r="A2" s="10">
        <v>67</v>
      </c>
      <c r="B2" s="12" t="s">
        <v>49</v>
      </c>
      <c r="C2" s="8">
        <v>1</v>
      </c>
      <c r="D2" s="8" t="s">
        <v>81</v>
      </c>
      <c r="E2" s="9">
        <v>0.45972222222222198</v>
      </c>
      <c r="F2" s="9" t="s">
        <v>113</v>
      </c>
      <c r="G2" s="9">
        <f t="shared" ref="G2:G33" ca="1" si="0">IF(F2&lt;&gt;"",IF(G2="",NOW(),G2),"")</f>
        <v>46194.470005092589</v>
      </c>
      <c r="H2" s="9">
        <f t="shared" ref="H2:H33" ca="1" si="1">IF(G2="","",G2-E2)</f>
        <v>46194.010282870368</v>
      </c>
      <c r="I2" s="8">
        <f t="shared" ref="I2:I33" ca="1" si="2">IF(H2="","",RANK(H2,H$2:H$171,1))</f>
        <v>1</v>
      </c>
      <c r="J2" s="8">
        <f ca="1">IF(F2="","",COUNTIFS(C$2:C$201,C1,H$2:H$201,"&lt;="&amp;H2))</f>
        <v>0</v>
      </c>
      <c r="K2" s="9">
        <v>0</v>
      </c>
      <c r="L2" s="9">
        <v>0.60416666666666663</v>
      </c>
      <c r="M2" s="9">
        <v>0</v>
      </c>
      <c r="N2" s="8">
        <v>1</v>
      </c>
      <c r="O2" s="8">
        <v>1</v>
      </c>
      <c r="P2" s="10">
        <v>1</v>
      </c>
      <c r="Q2" s="8">
        <v>69</v>
      </c>
      <c r="R2" s="12" t="str">
        <f t="shared" ref="R2:R33" si="3">_xlfn.XLOOKUP(Q2,A:A,B:B,"")</f>
        <v>RENAUT LUCIEN</v>
      </c>
      <c r="S2" s="8">
        <f t="shared" ref="S2:S33" si="4">_xlfn.XLOOKUP(R2,B:B,C:C,"")</f>
        <v>1</v>
      </c>
      <c r="T2" s="9">
        <f t="shared" ref="T2:T33" ca="1" si="5">IF(Q2&lt;&gt;"",IF(T2="",NOW(),T2),"")</f>
        <v>46194.616968634262</v>
      </c>
      <c r="U2" s="9">
        <f t="shared" ref="U2:U36" ca="1" si="6">IF(M2="","",T2-L2)</f>
        <v>46194.012801967598</v>
      </c>
      <c r="V2" s="10">
        <v>1</v>
      </c>
    </row>
    <row r="3" spans="1:22" ht="19.95" customHeight="1" x14ac:dyDescent="0.3">
      <c r="A3" s="10">
        <v>69</v>
      </c>
      <c r="B3" s="12" t="s">
        <v>99</v>
      </c>
      <c r="C3" s="8">
        <v>1</v>
      </c>
      <c r="D3" s="8" t="s">
        <v>81</v>
      </c>
      <c r="E3" s="9">
        <v>0.46111111111111103</v>
      </c>
      <c r="F3" s="9" t="s">
        <v>113</v>
      </c>
      <c r="G3" s="9">
        <f t="shared" ca="1" si="0"/>
        <v>46194.471727314813</v>
      </c>
      <c r="H3" s="9">
        <f t="shared" ca="1" si="1"/>
        <v>46194.010616203705</v>
      </c>
      <c r="I3" s="8">
        <f t="shared" ca="1" si="2"/>
        <v>2</v>
      </c>
      <c r="J3" s="8">
        <f ca="1">IF(F3="","",COUNTIFS(C$2:C$201,C2,H$2:H$201,"&lt;="&amp;H3))</f>
        <v>2</v>
      </c>
      <c r="K3" s="9">
        <f t="shared" ref="K3:K34" ca="1" si="7">H3-H2</f>
        <v>3.3333333703922108E-4</v>
      </c>
      <c r="L3" s="9">
        <f t="shared" ref="L3:L34" ca="1" si="8">K3+L2</f>
        <v>0.60450000000370585</v>
      </c>
      <c r="M3" s="9">
        <f t="shared" ref="M3:M34" ca="1" si="9">M2+K3</f>
        <v>3.3333333703922108E-4</v>
      </c>
      <c r="N3" s="8">
        <v>2</v>
      </c>
      <c r="O3" s="8">
        <v>1</v>
      </c>
      <c r="P3" s="10">
        <v>2</v>
      </c>
      <c r="Q3" s="8">
        <v>67</v>
      </c>
      <c r="R3" s="12" t="str">
        <f t="shared" si="3"/>
        <v>TACHOT LAURENT</v>
      </c>
      <c r="S3" s="8">
        <f t="shared" si="4"/>
        <v>1</v>
      </c>
      <c r="T3" s="9">
        <f t="shared" ca="1" si="5"/>
        <v>46194.617292939816</v>
      </c>
      <c r="U3" s="9">
        <f t="shared" ca="1" si="6"/>
        <v>46194.012792939815</v>
      </c>
      <c r="V3" s="10">
        <v>2</v>
      </c>
    </row>
    <row r="4" spans="1:22" ht="19.95" customHeight="1" x14ac:dyDescent="0.3">
      <c r="A4" s="10">
        <v>65</v>
      </c>
      <c r="B4" s="12" t="s">
        <v>14</v>
      </c>
      <c r="C4" s="8">
        <v>1</v>
      </c>
      <c r="D4" s="8" t="s">
        <v>70</v>
      </c>
      <c r="E4" s="9">
        <v>0.45833333333333331</v>
      </c>
      <c r="F4" s="9" t="s">
        <v>113</v>
      </c>
      <c r="G4" s="9">
        <f t="shared" ca="1" si="0"/>
        <v>46194.469195486112</v>
      </c>
      <c r="H4" s="9">
        <f t="shared" ca="1" si="1"/>
        <v>46194.010862152776</v>
      </c>
      <c r="I4" s="8">
        <f t="shared" ca="1" si="2"/>
        <v>3</v>
      </c>
      <c r="J4" s="8">
        <f ca="1">IF(F4="","",COUNTIFS(C$2:C$201,C5,H$2:H$201,"&lt;="&amp;H4))</f>
        <v>0</v>
      </c>
      <c r="K4" s="9">
        <f t="shared" ca="1" si="7"/>
        <v>2.459490715409629E-4</v>
      </c>
      <c r="L4" s="9">
        <f t="shared" ca="1" si="8"/>
        <v>0.60474594907524681</v>
      </c>
      <c r="M4" s="9">
        <f t="shared" ca="1" si="9"/>
        <v>5.7928240858018398E-4</v>
      </c>
      <c r="N4" s="8">
        <v>3</v>
      </c>
      <c r="O4" s="8">
        <v>1</v>
      </c>
      <c r="P4" s="10">
        <v>3</v>
      </c>
      <c r="Q4" s="8">
        <v>68</v>
      </c>
      <c r="R4" s="12" t="str">
        <f t="shared" si="3"/>
        <v>FRITSCH NICOLAS</v>
      </c>
      <c r="S4" s="8">
        <f t="shared" si="4"/>
        <v>1</v>
      </c>
      <c r="T4" s="9">
        <f t="shared" ca="1" si="5"/>
        <v>46194.617766435185</v>
      </c>
      <c r="U4" s="9">
        <f t="shared" ca="1" si="6"/>
        <v>46194.013020486113</v>
      </c>
      <c r="V4" s="10">
        <v>3</v>
      </c>
    </row>
    <row r="5" spans="1:22" ht="19.95" customHeight="1" x14ac:dyDescent="0.3">
      <c r="A5" s="10">
        <v>1</v>
      </c>
      <c r="B5" s="12" t="s">
        <v>34</v>
      </c>
      <c r="C5" s="8">
        <v>2</v>
      </c>
      <c r="D5" s="8" t="s">
        <v>51</v>
      </c>
      <c r="E5" s="9">
        <v>0.41666666666666669</v>
      </c>
      <c r="F5" s="9" t="s">
        <v>113</v>
      </c>
      <c r="G5" s="9">
        <f t="shared" ca="1" si="0"/>
        <v>46194.427546643521</v>
      </c>
      <c r="H5" s="9">
        <f t="shared" ca="1" si="1"/>
        <v>46194.010879976857</v>
      </c>
      <c r="I5" s="8">
        <f t="shared" ca="1" si="2"/>
        <v>4</v>
      </c>
      <c r="J5" s="8">
        <f ca="1">IF(F5="","",COUNTIFS(C$2:C$201,C10,H$2:H$201,"&lt;="&amp;H5))</f>
        <v>1</v>
      </c>
      <c r="K5" s="9">
        <f t="shared" ca="1" si="7"/>
        <v>1.7824080714490265E-5</v>
      </c>
      <c r="L5" s="9">
        <f t="shared" ca="1" si="8"/>
        <v>0.6047637731559613</v>
      </c>
      <c r="M5" s="9">
        <f t="shared" ca="1" si="9"/>
        <v>5.9710648929467425E-4</v>
      </c>
      <c r="N5" s="11">
        <v>4</v>
      </c>
      <c r="O5" s="11">
        <v>1</v>
      </c>
      <c r="P5" s="10">
        <v>4</v>
      </c>
      <c r="Q5" s="8">
        <v>1</v>
      </c>
      <c r="R5" s="12" t="str">
        <f t="shared" si="3"/>
        <v>MORACCHIOLI THOMAS</v>
      </c>
      <c r="S5" s="8">
        <f t="shared" si="4"/>
        <v>2</v>
      </c>
      <c r="T5" s="9">
        <f t="shared" ca="1" si="5"/>
        <v>46194.617784374997</v>
      </c>
      <c r="U5" s="9">
        <f t="shared" ca="1" si="6"/>
        <v>46194.013020601844</v>
      </c>
      <c r="V5" s="10">
        <v>4</v>
      </c>
    </row>
    <row r="6" spans="1:22" ht="19.95" customHeight="1" x14ac:dyDescent="0.3">
      <c r="A6" s="10">
        <v>68</v>
      </c>
      <c r="B6" s="12" t="s">
        <v>84</v>
      </c>
      <c r="C6" s="8">
        <v>1</v>
      </c>
      <c r="D6" s="8" t="s">
        <v>64</v>
      </c>
      <c r="E6" s="9">
        <v>0.46041666666666597</v>
      </c>
      <c r="F6" s="9" t="s">
        <v>113</v>
      </c>
      <c r="G6" s="9">
        <f t="shared" ca="1" si="0"/>
        <v>46194.471477083331</v>
      </c>
      <c r="H6" s="9">
        <f t="shared" ca="1" si="1"/>
        <v>46194.011060416662</v>
      </c>
      <c r="I6" s="8">
        <f t="shared" ca="1" si="2"/>
        <v>5</v>
      </c>
      <c r="J6" s="8">
        <f ca="1">IF(F6="","",COUNTIFS(C$2:C$201,C5,H$2:H$201,"&lt;="&amp;H6))</f>
        <v>1</v>
      </c>
      <c r="K6" s="9">
        <f t="shared" ca="1" si="7"/>
        <v>1.8043980526272207E-4</v>
      </c>
      <c r="L6" s="9">
        <f t="shared" ca="1" si="8"/>
        <v>0.60494421296122403</v>
      </c>
      <c r="M6" s="9">
        <f t="shared" ca="1" si="9"/>
        <v>7.7754629455739632E-4</v>
      </c>
      <c r="N6" s="8">
        <v>1</v>
      </c>
      <c r="O6" s="8">
        <v>2</v>
      </c>
      <c r="P6" s="10">
        <v>5</v>
      </c>
      <c r="Q6" s="8">
        <v>63</v>
      </c>
      <c r="R6" s="12" t="str">
        <f t="shared" si="3"/>
        <v>GALLEGO MICKAEL</v>
      </c>
      <c r="S6" s="8">
        <f t="shared" si="4"/>
        <v>1</v>
      </c>
      <c r="T6" s="9">
        <f t="shared" ca="1" si="5"/>
        <v>46194.618683449073</v>
      </c>
      <c r="U6" s="9">
        <f t="shared" ca="1" si="6"/>
        <v>46194.013739236114</v>
      </c>
      <c r="V6" s="10">
        <v>5</v>
      </c>
    </row>
    <row r="7" spans="1:22" ht="19.95" customHeight="1" x14ac:dyDescent="0.3">
      <c r="A7" s="10">
        <v>59</v>
      </c>
      <c r="B7" s="12" t="s">
        <v>74</v>
      </c>
      <c r="C7" s="8">
        <v>2</v>
      </c>
      <c r="D7" s="8" t="s">
        <v>73</v>
      </c>
      <c r="E7" s="9">
        <v>0.454166666666667</v>
      </c>
      <c r="F7" s="9" t="s">
        <v>113</v>
      </c>
      <c r="G7" s="9">
        <f t="shared" ca="1" si="0"/>
        <v>46194.465381134258</v>
      </c>
      <c r="H7" s="9">
        <f t="shared" ca="1" si="1"/>
        <v>46194.011214467588</v>
      </c>
      <c r="I7" s="8">
        <f t="shared" ca="1" si="2"/>
        <v>6</v>
      </c>
      <c r="J7" s="8">
        <f ca="1">IF(F7="","",COUNTIFS(C$2:C$201,C7,H$2:H$201,"&lt;="&amp;H7))</f>
        <v>2</v>
      </c>
      <c r="K7" s="9">
        <f t="shared" ca="1" si="7"/>
        <v>1.5405092563014477E-4</v>
      </c>
      <c r="L7" s="9">
        <f t="shared" ca="1" si="8"/>
        <v>0.60509826388685417</v>
      </c>
      <c r="M7" s="9">
        <f t="shared" ca="1" si="9"/>
        <v>9.315972201875411E-4</v>
      </c>
      <c r="N7" s="8">
        <v>2</v>
      </c>
      <c r="O7" s="8">
        <v>2</v>
      </c>
      <c r="P7" s="10">
        <v>6</v>
      </c>
      <c r="Q7" s="8">
        <v>30</v>
      </c>
      <c r="R7" s="12" t="str">
        <f t="shared" si="3"/>
        <v>GALLEGO DYLAN</v>
      </c>
      <c r="S7" s="8" t="str">
        <f t="shared" si="4"/>
        <v>NL</v>
      </c>
      <c r="T7" s="9">
        <f t="shared" ca="1" si="5"/>
        <v>46194.618692361109</v>
      </c>
      <c r="U7" s="9">
        <f t="shared" ca="1" si="6"/>
        <v>46194.013594097225</v>
      </c>
      <c r="V7" s="10">
        <v>6</v>
      </c>
    </row>
    <row r="8" spans="1:22" ht="19.95" customHeight="1" x14ac:dyDescent="0.3">
      <c r="A8" s="10">
        <v>64</v>
      </c>
      <c r="B8" s="12" t="s">
        <v>75</v>
      </c>
      <c r="C8" s="8">
        <v>1</v>
      </c>
      <c r="D8" s="8" t="s">
        <v>76</v>
      </c>
      <c r="E8" s="9">
        <v>0.45805555555555555</v>
      </c>
      <c r="F8" s="9" t="s">
        <v>113</v>
      </c>
      <c r="G8" s="9">
        <f t="shared" ca="1" si="0"/>
        <v>46194.469281944446</v>
      </c>
      <c r="H8" s="9">
        <f t="shared" ca="1" si="1"/>
        <v>46194.011226388888</v>
      </c>
      <c r="I8" s="8">
        <f t="shared" ca="1" si="2"/>
        <v>7</v>
      </c>
      <c r="J8" s="8">
        <f ca="1">IF(F8="","",COUNTIFS(C$2:C$201,#REF!,H$2:H$201,"&lt;="&amp;H8))</f>
        <v>0</v>
      </c>
      <c r="K8" s="9">
        <f t="shared" ca="1" si="7"/>
        <v>1.1921300028916448E-5</v>
      </c>
      <c r="L8" s="9">
        <f t="shared" ca="1" si="8"/>
        <v>0.60511018518688309</v>
      </c>
      <c r="M8" s="9">
        <f t="shared" ca="1" si="9"/>
        <v>9.4351852021645755E-4</v>
      </c>
      <c r="N8" s="8">
        <v>3</v>
      </c>
      <c r="O8" s="8">
        <v>2</v>
      </c>
      <c r="P8" s="10">
        <v>7</v>
      </c>
      <c r="Q8" s="8">
        <v>3</v>
      </c>
      <c r="R8" s="12" t="str">
        <f t="shared" si="3"/>
        <v>MERLO RAPHAEL</v>
      </c>
      <c r="S8" s="8">
        <f t="shared" si="4"/>
        <v>2</v>
      </c>
      <c r="T8" s="9">
        <f t="shared" ca="1" si="5"/>
        <v>46194.618718055557</v>
      </c>
      <c r="U8" s="9">
        <f t="shared" ca="1" si="6"/>
        <v>46194.013607870373</v>
      </c>
      <c r="V8" s="10">
        <v>7</v>
      </c>
    </row>
    <row r="9" spans="1:22" ht="19.95" customHeight="1" x14ac:dyDescent="0.3">
      <c r="A9" s="10">
        <v>63</v>
      </c>
      <c r="B9" s="12" t="s">
        <v>94</v>
      </c>
      <c r="C9" s="8">
        <v>1</v>
      </c>
      <c r="D9" s="8" t="s">
        <v>95</v>
      </c>
      <c r="E9" s="9">
        <v>0.45694444444444399</v>
      </c>
      <c r="F9" s="9" t="s">
        <v>113</v>
      </c>
      <c r="G9" s="9">
        <f t="shared" ca="1" si="0"/>
        <v>46194.468367939815</v>
      </c>
      <c r="H9" s="9">
        <f t="shared" ca="1" si="1"/>
        <v>46194.011423495373</v>
      </c>
      <c r="I9" s="8">
        <f t="shared" ca="1" si="2"/>
        <v>8</v>
      </c>
      <c r="J9" s="8">
        <f ca="1">IF(F9="","",COUNTIFS(C$2:C$201,C9,H$2:H$201,"&lt;="&amp;H9))</f>
        <v>6</v>
      </c>
      <c r="K9" s="9">
        <f t="shared" ca="1" si="7"/>
        <v>1.9710648484760895E-4</v>
      </c>
      <c r="L9" s="9">
        <f t="shared" ca="1" si="8"/>
        <v>0.6053072916717307</v>
      </c>
      <c r="M9" s="9">
        <f t="shared" ca="1" si="9"/>
        <v>1.1406250050640665E-3</v>
      </c>
      <c r="N9" s="8">
        <v>4</v>
      </c>
      <c r="O9" s="8">
        <v>2</v>
      </c>
      <c r="P9" s="10">
        <v>8</v>
      </c>
      <c r="Q9" s="8">
        <v>21</v>
      </c>
      <c r="R9" s="12" t="str">
        <f t="shared" si="3"/>
        <v>LEBEURRIER-SOUZY BASIL</v>
      </c>
      <c r="S9" s="8" t="str">
        <f t="shared" si="4"/>
        <v>15/16</v>
      </c>
      <c r="T9" s="9">
        <f t="shared" ca="1" si="5"/>
        <v>46194.618779166667</v>
      </c>
      <c r="U9" s="9">
        <f t="shared" ca="1" si="6"/>
        <v>46194.013471874998</v>
      </c>
      <c r="V9" s="10">
        <v>8</v>
      </c>
    </row>
    <row r="10" spans="1:22" ht="19.95" customHeight="1" x14ac:dyDescent="0.3">
      <c r="A10" s="10">
        <v>82</v>
      </c>
      <c r="B10" s="12" t="s">
        <v>35</v>
      </c>
      <c r="C10" s="8">
        <v>2</v>
      </c>
      <c r="D10" s="8" t="s">
        <v>51</v>
      </c>
      <c r="E10" s="9">
        <v>0.47013888888888899</v>
      </c>
      <c r="F10" s="9" t="s">
        <v>113</v>
      </c>
      <c r="G10" s="9">
        <f t="shared" ca="1" si="0"/>
        <v>46194.481580902779</v>
      </c>
      <c r="H10" s="9">
        <f t="shared" ca="1" si="1"/>
        <v>46194.011442013893</v>
      </c>
      <c r="I10" s="8">
        <f t="shared" ca="1" si="2"/>
        <v>9</v>
      </c>
      <c r="J10" s="8">
        <f ca="1">IF(F10="","",COUNTIFS(C$2:C$201,#REF!,H$2:H$201,"&lt;="&amp;H10))</f>
        <v>0</v>
      </c>
      <c r="K10" s="9">
        <f t="shared" ca="1" si="7"/>
        <v>1.8518519937060773E-5</v>
      </c>
      <c r="L10" s="9">
        <f t="shared" ca="1" si="8"/>
        <v>0.60532581019166776</v>
      </c>
      <c r="M10" s="9">
        <f t="shared" ca="1" si="9"/>
        <v>1.1591435250011273E-3</v>
      </c>
      <c r="N10" s="8">
        <v>1</v>
      </c>
      <c r="O10" s="8">
        <v>3</v>
      </c>
      <c r="P10" s="10">
        <v>9</v>
      </c>
      <c r="Q10" s="8">
        <v>64</v>
      </c>
      <c r="R10" s="12" t="str">
        <f t="shared" si="3"/>
        <v>PITIOT TAO</v>
      </c>
      <c r="S10" s="8">
        <f t="shared" si="4"/>
        <v>1</v>
      </c>
      <c r="T10" s="9">
        <f t="shared" ca="1" si="5"/>
        <v>46194.618803124999</v>
      </c>
      <c r="U10" s="9">
        <f t="shared" ca="1" si="6"/>
        <v>46194.013477314809</v>
      </c>
      <c r="V10" s="10">
        <v>9</v>
      </c>
    </row>
    <row r="11" spans="1:22" ht="19.95" customHeight="1" x14ac:dyDescent="0.3">
      <c r="A11" s="10">
        <v>78</v>
      </c>
      <c r="B11" s="12" t="s">
        <v>18</v>
      </c>
      <c r="C11" s="8">
        <v>3</v>
      </c>
      <c r="D11" s="8" t="s">
        <v>51</v>
      </c>
      <c r="E11" s="9">
        <v>0.46736111111111101</v>
      </c>
      <c r="F11" s="9" t="s">
        <v>113</v>
      </c>
      <c r="G11" s="9">
        <f t="shared" ca="1" si="0"/>
        <v>46194.478831018518</v>
      </c>
      <c r="H11" s="9">
        <f t="shared" ca="1" si="1"/>
        <v>46194.011469907404</v>
      </c>
      <c r="I11" s="8">
        <f t="shared" ca="1" si="2"/>
        <v>10</v>
      </c>
      <c r="J11" s="8">
        <f ca="1">IF(F11="","",COUNTIFS(C$2:C$201,C11,H$2:H$201,"&lt;="&amp;H11))</f>
        <v>1</v>
      </c>
      <c r="K11" s="9">
        <f t="shared" ca="1" si="7"/>
        <v>2.7893511287402362E-5</v>
      </c>
      <c r="L11" s="9">
        <f t="shared" ca="1" si="8"/>
        <v>0.60535370370295516</v>
      </c>
      <c r="M11" s="9">
        <f t="shared" ca="1" si="9"/>
        <v>1.1870370362885296E-3</v>
      </c>
      <c r="N11" s="8">
        <v>3</v>
      </c>
      <c r="O11" s="8">
        <v>3</v>
      </c>
      <c r="P11" s="10">
        <v>10</v>
      </c>
      <c r="Q11" s="8">
        <v>28</v>
      </c>
      <c r="R11" s="12" t="str">
        <f t="shared" si="3"/>
        <v>PIU REMI</v>
      </c>
      <c r="S11" s="8" t="str">
        <f t="shared" si="4"/>
        <v>NL</v>
      </c>
      <c r="T11" s="9">
        <f t="shared" ca="1" si="5"/>
        <v>46194.618814930553</v>
      </c>
      <c r="U11" s="9">
        <f t="shared" ca="1" si="6"/>
        <v>46194.013461226852</v>
      </c>
      <c r="V11" s="10">
        <v>10</v>
      </c>
    </row>
    <row r="12" spans="1:22" ht="19.95" customHeight="1" x14ac:dyDescent="0.3">
      <c r="A12" s="10">
        <v>57</v>
      </c>
      <c r="B12" s="12" t="s">
        <v>72</v>
      </c>
      <c r="C12" s="8">
        <v>2</v>
      </c>
      <c r="D12" s="8" t="s">
        <v>73</v>
      </c>
      <c r="E12" s="9">
        <v>0.452777777777778</v>
      </c>
      <c r="F12" s="9" t="s">
        <v>113</v>
      </c>
      <c r="G12" s="9">
        <f t="shared" ca="1" si="0"/>
        <v>46194.464338310187</v>
      </c>
      <c r="H12" s="9">
        <f t="shared" ca="1" si="1"/>
        <v>46194.01156053241</v>
      </c>
      <c r="I12" s="8">
        <f t="shared" ca="1" si="2"/>
        <v>11</v>
      </c>
      <c r="J12" s="8">
        <f ca="1">IF(F12="","",COUNTIFS(C$2:C$201,C12,H$2:H$201,"&lt;="&amp;H12))</f>
        <v>4</v>
      </c>
      <c r="K12" s="9">
        <f t="shared" ca="1" si="7"/>
        <v>9.0625006123445928E-5</v>
      </c>
      <c r="L12" s="9">
        <f t="shared" ca="1" si="8"/>
        <v>0.60544432870907861</v>
      </c>
      <c r="M12" s="9">
        <f t="shared" ca="1" si="9"/>
        <v>1.2776620424119756E-3</v>
      </c>
      <c r="N12" s="8">
        <v>4</v>
      </c>
      <c r="O12" s="8">
        <v>3</v>
      </c>
      <c r="P12" s="10">
        <v>11</v>
      </c>
      <c r="Q12" s="8">
        <v>20</v>
      </c>
      <c r="R12" s="12" t="str">
        <f t="shared" si="3"/>
        <v>BOSQUELLE TAO</v>
      </c>
      <c r="S12" s="8" t="str">
        <f t="shared" si="4"/>
        <v>15/16</v>
      </c>
      <c r="T12" s="9">
        <f t="shared" ca="1" si="5"/>
        <v>46194.618935416664</v>
      </c>
      <c r="U12" s="9">
        <f t="shared" ca="1" si="6"/>
        <v>46194.013491087957</v>
      </c>
      <c r="V12" s="10">
        <v>11</v>
      </c>
    </row>
    <row r="13" spans="1:22" ht="19.95" customHeight="1" x14ac:dyDescent="0.3">
      <c r="A13" s="10">
        <v>3</v>
      </c>
      <c r="B13" s="12" t="s">
        <v>17</v>
      </c>
      <c r="C13" s="8">
        <v>2</v>
      </c>
      <c r="D13" s="8" t="s">
        <v>51</v>
      </c>
      <c r="E13" s="9">
        <v>0.41805555555555601</v>
      </c>
      <c r="F13" s="9" t="s">
        <v>113</v>
      </c>
      <c r="G13" s="9">
        <f t="shared" ca="1" si="0"/>
        <v>46194.429659606481</v>
      </c>
      <c r="H13" s="9">
        <f t="shared" ca="1" si="1"/>
        <v>46194.011604050924</v>
      </c>
      <c r="I13" s="8">
        <f t="shared" ca="1" si="2"/>
        <v>12</v>
      </c>
      <c r="J13" s="8">
        <f ca="1">IF(F13="","",COUNTIFS(C$2:C$201,C12,H$2:H$201,"&lt;="&amp;H13))</f>
        <v>5</v>
      </c>
      <c r="K13" s="9">
        <f t="shared" ca="1" si="7"/>
        <v>4.3518513848539442E-5</v>
      </c>
      <c r="L13" s="9">
        <f t="shared" ca="1" si="8"/>
        <v>0.60548784722292714</v>
      </c>
      <c r="M13" s="9">
        <f t="shared" ca="1" si="9"/>
        <v>1.321180556260515E-3</v>
      </c>
      <c r="N13" s="11">
        <v>1</v>
      </c>
      <c r="O13" s="11">
        <v>5</v>
      </c>
      <c r="P13" s="10">
        <v>12</v>
      </c>
      <c r="Q13" s="8">
        <v>17</v>
      </c>
      <c r="R13" s="12" t="str">
        <f t="shared" si="3"/>
        <v>MORACCHIOLI NOE</v>
      </c>
      <c r="S13" s="8" t="str">
        <f t="shared" si="4"/>
        <v>15/16</v>
      </c>
      <c r="T13" s="9">
        <f t="shared" ca="1" si="5"/>
        <v>46194.618988657407</v>
      </c>
      <c r="U13" s="9">
        <f t="shared" ca="1" si="6"/>
        <v>46194.013500810186</v>
      </c>
      <c r="V13" s="10">
        <v>12</v>
      </c>
    </row>
    <row r="14" spans="1:22" ht="19.95" customHeight="1" x14ac:dyDescent="0.3">
      <c r="A14" s="10">
        <v>21</v>
      </c>
      <c r="B14" s="12" t="s">
        <v>92</v>
      </c>
      <c r="C14" s="8" t="s">
        <v>32</v>
      </c>
      <c r="D14" s="8" t="s">
        <v>93</v>
      </c>
      <c r="E14" s="9">
        <v>0.42986111111111103</v>
      </c>
      <c r="F14" s="9" t="s">
        <v>113</v>
      </c>
      <c r="G14" s="9">
        <f t="shared" ca="1" si="0"/>
        <v>46194.441475347223</v>
      </c>
      <c r="H14" s="9">
        <f t="shared" ca="1" si="1"/>
        <v>46194.011614236115</v>
      </c>
      <c r="I14" s="8">
        <f t="shared" ca="1" si="2"/>
        <v>13</v>
      </c>
      <c r="J14" s="8">
        <f ca="1">IF(F14="","",COUNTIFS(C$2:C$201,#REF!,H$2:H$201,"&lt;="&amp;H14))</f>
        <v>0</v>
      </c>
      <c r="K14" s="9">
        <f t="shared" ca="1" si="7"/>
        <v>1.0185191058553755E-5</v>
      </c>
      <c r="L14" s="9">
        <f t="shared" ca="1" si="8"/>
        <v>0.6054980324139857</v>
      </c>
      <c r="M14" s="9">
        <f t="shared" ca="1" si="9"/>
        <v>1.3313657473190688E-3</v>
      </c>
      <c r="N14" s="8">
        <v>2</v>
      </c>
      <c r="O14" s="8">
        <v>5</v>
      </c>
      <c r="P14" s="10">
        <v>13</v>
      </c>
      <c r="Q14" s="8">
        <v>51</v>
      </c>
      <c r="R14" s="12" t="str">
        <f t="shared" si="3"/>
        <v>DAVID YANN</v>
      </c>
      <c r="S14" s="8">
        <f t="shared" si="4"/>
        <v>2</v>
      </c>
      <c r="T14" s="9">
        <f t="shared" ca="1" si="5"/>
        <v>46194.619237500003</v>
      </c>
      <c r="U14" s="9">
        <f t="shared" ca="1" si="6"/>
        <v>46194.013739467591</v>
      </c>
      <c r="V14" s="10">
        <v>13</v>
      </c>
    </row>
    <row r="15" spans="1:22" ht="19.95" customHeight="1" x14ac:dyDescent="0.3">
      <c r="A15" s="10">
        <v>51</v>
      </c>
      <c r="B15" s="12" t="s">
        <v>16</v>
      </c>
      <c r="C15" s="8">
        <v>2</v>
      </c>
      <c r="D15" s="8" t="s">
        <v>64</v>
      </c>
      <c r="E15" s="9">
        <v>0.44861111111111102</v>
      </c>
      <c r="F15" s="9" t="s">
        <v>113</v>
      </c>
      <c r="G15" s="9">
        <f t="shared" ca="1" si="0"/>
        <v>46194.460232407408</v>
      </c>
      <c r="H15" s="9">
        <f t="shared" ca="1" si="1"/>
        <v>46194.011621296297</v>
      </c>
      <c r="I15" s="8">
        <f t="shared" ca="1" si="2"/>
        <v>14</v>
      </c>
      <c r="J15" s="8">
        <f t="shared" ref="J15:J22" ca="1" si="10">IF(F15="","",COUNTIFS(C$2:C$201,C15,H$2:H$201,"&lt;="&amp;H15))</f>
        <v>6</v>
      </c>
      <c r="K15" s="9">
        <f t="shared" ca="1" si="7"/>
        <v>7.0601818151772022E-6</v>
      </c>
      <c r="L15" s="9">
        <f t="shared" ca="1" si="8"/>
        <v>0.60550509259580088</v>
      </c>
      <c r="M15" s="9">
        <f t="shared" ca="1" si="9"/>
        <v>1.338425929134246E-3</v>
      </c>
      <c r="N15" s="8">
        <v>3</v>
      </c>
      <c r="O15" s="8">
        <v>5</v>
      </c>
      <c r="P15" s="10">
        <v>14</v>
      </c>
      <c r="Q15" s="8">
        <v>65</v>
      </c>
      <c r="R15" s="12" t="str">
        <f t="shared" si="3"/>
        <v>PELLERIN XAVIER</v>
      </c>
      <c r="S15" s="8">
        <f t="shared" si="4"/>
        <v>1</v>
      </c>
      <c r="T15" s="9">
        <f t="shared" ca="1" si="5"/>
        <v>46194.619693055552</v>
      </c>
      <c r="U15" s="9">
        <f t="shared" ca="1" si="6"/>
        <v>46194.014187962959</v>
      </c>
      <c r="V15" s="10">
        <v>14</v>
      </c>
    </row>
    <row r="16" spans="1:22" ht="19.95" customHeight="1" x14ac:dyDescent="0.3">
      <c r="A16" s="10">
        <v>32</v>
      </c>
      <c r="B16" s="12" t="s">
        <v>103</v>
      </c>
      <c r="C16" s="8" t="s">
        <v>37</v>
      </c>
      <c r="D16" s="8" t="s">
        <v>37</v>
      </c>
      <c r="E16" s="9">
        <v>0.4375</v>
      </c>
      <c r="F16" s="9" t="s">
        <v>113</v>
      </c>
      <c r="G16" s="9">
        <f t="shared" ca="1" si="0"/>
        <v>46194.449131597219</v>
      </c>
      <c r="H16" s="9">
        <f t="shared" ca="1" si="1"/>
        <v>46194.011631597219</v>
      </c>
      <c r="I16" s="8">
        <f t="shared" ca="1" si="2"/>
        <v>15</v>
      </c>
      <c r="J16" s="8">
        <f t="shared" ca="1" si="10"/>
        <v>1</v>
      </c>
      <c r="K16" s="9">
        <f t="shared" ca="1" si="7"/>
        <v>1.0300922440364957E-5</v>
      </c>
      <c r="L16" s="9">
        <f t="shared" ca="1" si="8"/>
        <v>0.60551539351824124</v>
      </c>
      <c r="M16" s="9">
        <f t="shared" ca="1" si="9"/>
        <v>1.3487268515746109E-3</v>
      </c>
      <c r="N16" s="8">
        <v>4</v>
      </c>
      <c r="O16" s="8">
        <v>5</v>
      </c>
      <c r="P16" s="10">
        <v>15</v>
      </c>
      <c r="Q16" s="8">
        <v>58</v>
      </c>
      <c r="R16" s="12" t="str">
        <f t="shared" si="3"/>
        <v>MICAS TITOUAN</v>
      </c>
      <c r="S16" s="8">
        <f t="shared" si="4"/>
        <v>2</v>
      </c>
      <c r="T16" s="9">
        <f t="shared" ca="1" si="5"/>
        <v>46194.619811226854</v>
      </c>
      <c r="U16" s="9">
        <f t="shared" ca="1" si="6"/>
        <v>46194.014295833338</v>
      </c>
      <c r="V16" s="10">
        <v>15</v>
      </c>
    </row>
    <row r="17" spans="1:22" ht="19.95" customHeight="1" x14ac:dyDescent="0.3">
      <c r="A17" s="10">
        <v>30</v>
      </c>
      <c r="B17" s="12" t="s">
        <v>96</v>
      </c>
      <c r="C17" s="8" t="s">
        <v>37</v>
      </c>
      <c r="D17" s="8" t="s">
        <v>37</v>
      </c>
      <c r="E17" s="9">
        <v>0.43611111111111101</v>
      </c>
      <c r="F17" s="9" t="s">
        <v>113</v>
      </c>
      <c r="G17" s="9">
        <f t="shared" ca="1" si="0"/>
        <v>46194.447744675927</v>
      </c>
      <c r="H17" s="9">
        <f t="shared" ca="1" si="1"/>
        <v>46194.011633564813</v>
      </c>
      <c r="I17" s="8">
        <f t="shared" ca="1" si="2"/>
        <v>16</v>
      </c>
      <c r="J17" s="8">
        <f t="shared" ca="1" si="10"/>
        <v>2</v>
      </c>
      <c r="K17" s="9">
        <f t="shared" ca="1" si="7"/>
        <v>1.9675935618579388E-6</v>
      </c>
      <c r="L17" s="9">
        <f t="shared" ca="1" si="8"/>
        <v>0.6055173611118031</v>
      </c>
      <c r="M17" s="9">
        <f t="shared" ca="1" si="9"/>
        <v>1.3506944451364689E-3</v>
      </c>
      <c r="N17" s="8">
        <v>1</v>
      </c>
      <c r="O17" s="8">
        <v>6</v>
      </c>
      <c r="P17" s="10">
        <v>16</v>
      </c>
      <c r="Q17" s="8">
        <v>82</v>
      </c>
      <c r="R17" s="12" t="str">
        <f t="shared" si="3"/>
        <v>SANTALUCIA UGO</v>
      </c>
      <c r="S17" s="8">
        <f t="shared" si="4"/>
        <v>2</v>
      </c>
      <c r="T17" s="9">
        <f t="shared" ca="1" si="5"/>
        <v>46194.619898842589</v>
      </c>
      <c r="U17" s="9">
        <f t="shared" ca="1" si="6"/>
        <v>46194.01438148148</v>
      </c>
      <c r="V17" s="10">
        <v>16</v>
      </c>
    </row>
    <row r="18" spans="1:22" ht="19.95" customHeight="1" x14ac:dyDescent="0.3">
      <c r="A18" s="10">
        <v>58</v>
      </c>
      <c r="B18" s="12" t="s">
        <v>33</v>
      </c>
      <c r="C18" s="8">
        <v>2</v>
      </c>
      <c r="D18" s="8" t="s">
        <v>60</v>
      </c>
      <c r="E18" s="9">
        <v>0.453472222222222</v>
      </c>
      <c r="F18" s="9" t="s">
        <v>113</v>
      </c>
      <c r="G18" s="9">
        <f t="shared" ca="1" si="0"/>
        <v>46194.465118749999</v>
      </c>
      <c r="H18" s="9">
        <f t="shared" ca="1" si="1"/>
        <v>46194.011646527775</v>
      </c>
      <c r="I18" s="8">
        <f t="shared" ca="1" si="2"/>
        <v>17</v>
      </c>
      <c r="J18" s="8">
        <f t="shared" ca="1" si="10"/>
        <v>7</v>
      </c>
      <c r="K18" s="9">
        <f t="shared" ca="1" si="7"/>
        <v>1.2962962500751019E-5</v>
      </c>
      <c r="L18" s="9">
        <f t="shared" ca="1" si="8"/>
        <v>0.60553032407430385</v>
      </c>
      <c r="M18" s="9">
        <f t="shared" ca="1" si="9"/>
        <v>1.3636574076372199E-3</v>
      </c>
      <c r="N18" s="8">
        <v>2</v>
      </c>
      <c r="O18" s="8">
        <v>6</v>
      </c>
      <c r="P18" s="10">
        <v>17</v>
      </c>
      <c r="Q18" s="8">
        <v>55</v>
      </c>
      <c r="R18" s="12" t="str">
        <f t="shared" si="3"/>
        <v>AGUD THIERRY</v>
      </c>
      <c r="S18" s="8">
        <f t="shared" si="4"/>
        <v>2</v>
      </c>
      <c r="T18" s="9">
        <f t="shared" ca="1" si="5"/>
        <v>46194.619975347225</v>
      </c>
      <c r="U18" s="9">
        <f t="shared" ca="1" si="6"/>
        <v>46194.014445023153</v>
      </c>
      <c r="V18" s="10">
        <v>17</v>
      </c>
    </row>
    <row r="19" spans="1:22" ht="19.95" customHeight="1" x14ac:dyDescent="0.3">
      <c r="A19" s="10">
        <v>56</v>
      </c>
      <c r="B19" s="12" t="s">
        <v>71</v>
      </c>
      <c r="C19" s="8">
        <v>2</v>
      </c>
      <c r="D19" s="8" t="s">
        <v>60</v>
      </c>
      <c r="E19" s="9">
        <v>0.452083333333333</v>
      </c>
      <c r="F19" s="9" t="s">
        <v>113</v>
      </c>
      <c r="G19" s="9">
        <f t="shared" ca="1" si="0"/>
        <v>46194.463739814812</v>
      </c>
      <c r="H19" s="9">
        <f t="shared" ca="1" si="1"/>
        <v>46194.011656481482</v>
      </c>
      <c r="I19" s="8">
        <f t="shared" ca="1" si="2"/>
        <v>18</v>
      </c>
      <c r="J19" s="8">
        <f t="shared" ca="1" si="10"/>
        <v>8</v>
      </c>
      <c r="K19" s="9">
        <f t="shared" ca="1" si="7"/>
        <v>9.9537064670585096E-6</v>
      </c>
      <c r="L19" s="9">
        <f t="shared" ca="1" si="8"/>
        <v>0.60554027778077091</v>
      </c>
      <c r="M19" s="9">
        <f t="shared" ca="1" si="9"/>
        <v>1.3736111141042784E-3</v>
      </c>
      <c r="N19" s="8">
        <v>3</v>
      </c>
      <c r="O19" s="8">
        <v>6</v>
      </c>
      <c r="P19" s="10">
        <v>18</v>
      </c>
      <c r="Q19" s="8">
        <v>57</v>
      </c>
      <c r="R19" s="12" t="str">
        <f t="shared" si="3"/>
        <v>MELEZE FREDERIC</v>
      </c>
      <c r="S19" s="8">
        <f t="shared" si="4"/>
        <v>2</v>
      </c>
      <c r="T19" s="9">
        <f t="shared" ca="1" si="5"/>
        <v>46194.620254745372</v>
      </c>
      <c r="U19" s="9">
        <f t="shared" ca="1" si="6"/>
        <v>46194.014714467594</v>
      </c>
      <c r="V19" s="10">
        <v>18</v>
      </c>
    </row>
    <row r="20" spans="1:22" ht="19.95" customHeight="1" x14ac:dyDescent="0.3">
      <c r="A20" s="10">
        <v>54</v>
      </c>
      <c r="B20" s="12" t="s">
        <v>15</v>
      </c>
      <c r="C20" s="8">
        <v>2</v>
      </c>
      <c r="D20" s="8" t="s">
        <v>114</v>
      </c>
      <c r="E20" s="9">
        <v>0.45173611111111112</v>
      </c>
      <c r="F20" s="9" t="s">
        <v>113</v>
      </c>
      <c r="G20" s="36">
        <f t="shared" ca="1" si="0"/>
        <v>46194.463412268517</v>
      </c>
      <c r="H20" s="36">
        <f t="shared" ca="1" si="1"/>
        <v>46194.011676157403</v>
      </c>
      <c r="I20" s="8">
        <f t="shared" ca="1" si="2"/>
        <v>19</v>
      </c>
      <c r="J20" s="8">
        <f t="shared" ca="1" si="10"/>
        <v>9</v>
      </c>
      <c r="K20" s="9">
        <f t="shared" ca="1" si="7"/>
        <v>1.9675921066664159E-5</v>
      </c>
      <c r="L20" s="9">
        <f t="shared" ca="1" si="8"/>
        <v>0.60555995370183757</v>
      </c>
      <c r="M20" s="9">
        <f t="shared" ca="1" si="9"/>
        <v>1.3932870351709425E-3</v>
      </c>
      <c r="N20" s="8">
        <v>4</v>
      </c>
      <c r="O20" s="8">
        <v>6</v>
      </c>
      <c r="P20" s="10">
        <v>19</v>
      </c>
      <c r="Q20" s="8">
        <v>53</v>
      </c>
      <c r="R20" s="12" t="str">
        <f t="shared" si="3"/>
        <v>ROUSSEL JEROME</v>
      </c>
      <c r="S20" s="8">
        <f t="shared" si="4"/>
        <v>2</v>
      </c>
      <c r="T20" s="9">
        <f t="shared" ca="1" si="5"/>
        <v>46194.620320601854</v>
      </c>
      <c r="U20" s="9">
        <f t="shared" ca="1" si="6"/>
        <v>46194.014760648155</v>
      </c>
      <c r="V20" s="10">
        <v>19</v>
      </c>
    </row>
    <row r="21" spans="1:22" ht="19.95" customHeight="1" x14ac:dyDescent="0.3">
      <c r="A21" s="10">
        <v>55</v>
      </c>
      <c r="B21" s="12" t="s">
        <v>69</v>
      </c>
      <c r="C21" s="8">
        <v>2</v>
      </c>
      <c r="D21" s="8" t="s">
        <v>70</v>
      </c>
      <c r="E21" s="9">
        <v>0.45734953703703701</v>
      </c>
      <c r="F21" s="9" t="s">
        <v>113</v>
      </c>
      <c r="G21" s="9">
        <f t="shared" ca="1" si="0"/>
        <v>46194.469089583334</v>
      </c>
      <c r="H21" s="9">
        <f t="shared" ca="1" si="1"/>
        <v>46194.011740046299</v>
      </c>
      <c r="I21" s="8">
        <f t="shared" ca="1" si="2"/>
        <v>20</v>
      </c>
      <c r="J21" s="8">
        <f t="shared" ca="1" si="10"/>
        <v>10</v>
      </c>
      <c r="K21" s="9">
        <f t="shared" ca="1" si="7"/>
        <v>6.3888895965646952E-5</v>
      </c>
      <c r="L21" s="9">
        <f t="shared" ca="1" si="8"/>
        <v>0.60562384259780322</v>
      </c>
      <c r="M21" s="9">
        <f t="shared" ca="1" si="9"/>
        <v>1.4571759311365895E-3</v>
      </c>
      <c r="N21" s="8">
        <v>2</v>
      </c>
      <c r="O21" s="8">
        <v>3</v>
      </c>
      <c r="P21" s="10">
        <v>20</v>
      </c>
      <c r="Q21" s="8">
        <v>79</v>
      </c>
      <c r="R21" s="12" t="str">
        <f t="shared" si="3"/>
        <v>THEVENET PIERRICK</v>
      </c>
      <c r="S21" s="8">
        <f t="shared" si="4"/>
        <v>3</v>
      </c>
      <c r="T21" s="9">
        <f t="shared" ca="1" si="5"/>
        <v>46194.620365740739</v>
      </c>
      <c r="U21" s="9">
        <f t="shared" ca="1" si="6"/>
        <v>46194.014741898143</v>
      </c>
      <c r="V21" s="10">
        <v>20</v>
      </c>
    </row>
    <row r="22" spans="1:22" ht="19.95" customHeight="1" x14ac:dyDescent="0.3">
      <c r="A22" s="10">
        <v>53</v>
      </c>
      <c r="B22" s="12" t="s">
        <v>91</v>
      </c>
      <c r="C22" s="8">
        <v>2</v>
      </c>
      <c r="D22" s="8" t="s">
        <v>78</v>
      </c>
      <c r="E22" s="9">
        <v>0.45162037037037039</v>
      </c>
      <c r="F22" s="9" t="s">
        <v>113</v>
      </c>
      <c r="G22" s="36">
        <f t="shared" ca="1" si="0"/>
        <v>46194.463400810186</v>
      </c>
      <c r="H22" s="36">
        <f t="shared" ca="1" si="1"/>
        <v>46194.011780439818</v>
      </c>
      <c r="I22" s="8">
        <f t="shared" ca="1" si="2"/>
        <v>21</v>
      </c>
      <c r="J22" s="8">
        <f t="shared" ca="1" si="10"/>
        <v>11</v>
      </c>
      <c r="K22" s="9">
        <f t="shared" ca="1" si="7"/>
        <v>4.0393519157078117E-5</v>
      </c>
      <c r="L22" s="9">
        <f t="shared" ca="1" si="8"/>
        <v>0.6056642361169603</v>
      </c>
      <c r="M22" s="9">
        <f t="shared" ca="1" si="9"/>
        <v>1.4975694502936676E-3</v>
      </c>
      <c r="N22" s="8">
        <v>1</v>
      </c>
      <c r="O22" s="8">
        <v>7</v>
      </c>
      <c r="P22" s="10">
        <v>21</v>
      </c>
      <c r="Q22" s="8">
        <v>19</v>
      </c>
      <c r="R22" s="12" t="str">
        <f t="shared" si="3"/>
        <v>STRAPPAZON ANTONIN</v>
      </c>
      <c r="S22" s="8" t="str">
        <f t="shared" si="4"/>
        <v>15/16</v>
      </c>
      <c r="T22" s="9">
        <f t="shared" ca="1" si="5"/>
        <v>46194.620442245374</v>
      </c>
      <c r="U22" s="9">
        <f t="shared" ca="1" si="6"/>
        <v>46194.014778009259</v>
      </c>
      <c r="V22" s="10">
        <v>21</v>
      </c>
    </row>
    <row r="23" spans="1:22" ht="19.95" customHeight="1" x14ac:dyDescent="0.3">
      <c r="A23" s="10">
        <v>17</v>
      </c>
      <c r="B23" s="12" t="s">
        <v>12</v>
      </c>
      <c r="C23" s="8" t="s">
        <v>32</v>
      </c>
      <c r="D23" s="8" t="s">
        <v>51</v>
      </c>
      <c r="E23" s="9">
        <v>0.42708333333333298</v>
      </c>
      <c r="F23" s="9" t="s">
        <v>113</v>
      </c>
      <c r="G23" s="9">
        <f t="shared" ca="1" si="0"/>
        <v>46194.438909143515</v>
      </c>
      <c r="H23" s="9">
        <f t="shared" ca="1" si="1"/>
        <v>46194.011825810179</v>
      </c>
      <c r="I23" s="8">
        <f t="shared" ca="1" si="2"/>
        <v>22</v>
      </c>
      <c r="J23" s="8">
        <f ca="1">IF(F23="","",COUNTIFS(C$2:C$201,C24,H$2:H$201,"&lt;="&amp;H23))</f>
        <v>2</v>
      </c>
      <c r="K23" s="9">
        <f t="shared" ca="1" si="7"/>
        <v>4.5370361476670951E-5</v>
      </c>
      <c r="L23" s="9">
        <f t="shared" ca="1" si="8"/>
        <v>0.60570960647843697</v>
      </c>
      <c r="M23" s="9">
        <f t="shared" ca="1" si="9"/>
        <v>1.5429398117703386E-3</v>
      </c>
      <c r="N23" s="8">
        <v>2</v>
      </c>
      <c r="O23" s="8">
        <v>7</v>
      </c>
      <c r="P23" s="10">
        <v>22</v>
      </c>
      <c r="Q23" s="8">
        <v>13</v>
      </c>
      <c r="R23" s="12" t="str">
        <f t="shared" si="3"/>
        <v>PAUTASSO ALEXIS</v>
      </c>
      <c r="S23" s="8" t="str">
        <f t="shared" si="4"/>
        <v>13/14</v>
      </c>
      <c r="T23" s="9">
        <f t="shared" ca="1" si="5"/>
        <v>46194.620453819443</v>
      </c>
      <c r="U23" s="9">
        <f t="shared" ca="1" si="6"/>
        <v>46194.014744212967</v>
      </c>
      <c r="V23" s="10">
        <v>22</v>
      </c>
    </row>
    <row r="24" spans="1:22" ht="19.95" customHeight="1" x14ac:dyDescent="0.3">
      <c r="A24" s="10">
        <v>20</v>
      </c>
      <c r="B24" s="12" t="s">
        <v>89</v>
      </c>
      <c r="C24" s="8" t="s">
        <v>32</v>
      </c>
      <c r="D24" s="8" t="s">
        <v>90</v>
      </c>
      <c r="E24" s="9">
        <v>0.42916666666666697</v>
      </c>
      <c r="F24" s="9" t="s">
        <v>113</v>
      </c>
      <c r="G24" s="9">
        <f t="shared" ca="1" si="0"/>
        <v>46194.441006944442</v>
      </c>
      <c r="H24" s="9">
        <f t="shared" ca="1" si="1"/>
        <v>46194.011840277773</v>
      </c>
      <c r="I24" s="8">
        <f t="shared" ca="1" si="2"/>
        <v>23</v>
      </c>
      <c r="J24" s="8">
        <f ca="1">IF(F24="","",COUNTIFS(C$2:C$201,C25,H$2:H$201,"&lt;="&amp;H24))</f>
        <v>1</v>
      </c>
      <c r="K24" s="9">
        <f t="shared" ca="1" si="7"/>
        <v>1.446759415557608E-5</v>
      </c>
      <c r="L24" s="9">
        <f t="shared" ca="1" si="8"/>
        <v>0.60572407407259254</v>
      </c>
      <c r="M24" s="9">
        <f t="shared" ca="1" si="9"/>
        <v>1.5574074059259146E-3</v>
      </c>
      <c r="N24" s="8">
        <v>3</v>
      </c>
      <c r="O24" s="8">
        <v>7</v>
      </c>
      <c r="P24" s="10">
        <v>23</v>
      </c>
      <c r="Q24" s="8">
        <v>32</v>
      </c>
      <c r="R24" s="12" t="str">
        <f t="shared" si="3"/>
        <v>NOTIN DAVID</v>
      </c>
      <c r="S24" s="8" t="str">
        <f t="shared" si="4"/>
        <v>NL</v>
      </c>
      <c r="T24" s="9">
        <f t="shared" ca="1" si="5"/>
        <v>46194.620469444446</v>
      </c>
      <c r="U24" s="9">
        <f t="shared" ca="1" si="6"/>
        <v>46194.014745370376</v>
      </c>
      <c r="V24" s="10">
        <v>23</v>
      </c>
    </row>
    <row r="25" spans="1:22" ht="19.95" customHeight="1" x14ac:dyDescent="0.3">
      <c r="A25" s="10">
        <v>81</v>
      </c>
      <c r="B25" s="12" t="s">
        <v>20</v>
      </c>
      <c r="C25" s="8">
        <v>3</v>
      </c>
      <c r="D25" s="8" t="s">
        <v>51</v>
      </c>
      <c r="E25" s="9">
        <v>0.469444444444444</v>
      </c>
      <c r="F25" s="9" t="s">
        <v>113</v>
      </c>
      <c r="G25" s="9">
        <f t="shared" ca="1" si="0"/>
        <v>46194.481335185184</v>
      </c>
      <c r="H25" s="9">
        <f t="shared" ca="1" si="1"/>
        <v>46194.011890740738</v>
      </c>
      <c r="I25" s="8">
        <f t="shared" ca="1" si="2"/>
        <v>24</v>
      </c>
      <c r="J25" s="8">
        <f ca="1">IF(F25="","",COUNTIFS(C$2:C$201,C25,H$2:H$201,"&lt;="&amp;H25))</f>
        <v>2</v>
      </c>
      <c r="K25" s="9">
        <f t="shared" ca="1" si="7"/>
        <v>5.0462964281905442E-5</v>
      </c>
      <c r="L25" s="9">
        <f t="shared" ca="1" si="8"/>
        <v>0.60577453703687445</v>
      </c>
      <c r="M25" s="9">
        <f t="shared" ca="1" si="9"/>
        <v>1.6078703702078201E-3</v>
      </c>
      <c r="N25" s="8">
        <v>4</v>
      </c>
      <c r="O25" s="8">
        <v>7</v>
      </c>
      <c r="P25" s="10">
        <v>24</v>
      </c>
      <c r="Q25" s="8">
        <v>59</v>
      </c>
      <c r="R25" s="12" t="str">
        <f t="shared" si="3"/>
        <v>MELEZE JEAN-PHILIPPE</v>
      </c>
      <c r="S25" s="8">
        <f t="shared" si="4"/>
        <v>2</v>
      </c>
      <c r="T25" s="9">
        <f t="shared" ca="1" si="5"/>
        <v>46194.620627199074</v>
      </c>
      <c r="U25" s="9">
        <f t="shared" ca="1" si="6"/>
        <v>46194.01485266204</v>
      </c>
      <c r="V25" s="10">
        <v>24</v>
      </c>
    </row>
    <row r="26" spans="1:22" ht="19.95" customHeight="1" x14ac:dyDescent="0.3">
      <c r="A26" s="10">
        <v>28</v>
      </c>
      <c r="B26" s="12" t="s">
        <v>87</v>
      </c>
      <c r="C26" s="8" t="s">
        <v>37</v>
      </c>
      <c r="D26" s="8" t="s">
        <v>37</v>
      </c>
      <c r="E26" s="9">
        <v>0.43472222222222201</v>
      </c>
      <c r="F26" s="9" t="s">
        <v>113</v>
      </c>
      <c r="G26" s="9">
        <f t="shared" ca="1" si="0"/>
        <v>46194.446621527779</v>
      </c>
      <c r="H26" s="9">
        <f t="shared" ca="1" si="1"/>
        <v>46194.011899305558</v>
      </c>
      <c r="I26" s="8">
        <f t="shared" ca="1" si="2"/>
        <v>25</v>
      </c>
      <c r="J26" s="8">
        <f ca="1">IF(F26="","",COUNTIFS(C$2:C$201,C26,H$2:H$201,"&lt;="&amp;H26))</f>
        <v>3</v>
      </c>
      <c r="K26" s="9">
        <f t="shared" ca="1" si="7"/>
        <v>8.564820745959878E-6</v>
      </c>
      <c r="L26" s="9">
        <f t="shared" ca="1" si="8"/>
        <v>0.60578310185762041</v>
      </c>
      <c r="M26" s="9">
        <f t="shared" ca="1" si="9"/>
        <v>1.61643519095378E-3</v>
      </c>
      <c r="N26" s="8">
        <v>1</v>
      </c>
      <c r="O26" s="8">
        <v>8</v>
      </c>
      <c r="P26" s="10">
        <v>25</v>
      </c>
      <c r="Q26" s="8">
        <v>18</v>
      </c>
      <c r="R26" s="12" t="str">
        <f t="shared" si="3"/>
        <v>CHEVIGNON MATHEO</v>
      </c>
      <c r="S26" s="8" t="str">
        <f t="shared" si="4"/>
        <v>15/16</v>
      </c>
      <c r="T26" s="9">
        <f t="shared" ca="1" si="5"/>
        <v>46194.620778819444</v>
      </c>
      <c r="U26" s="9">
        <f t="shared" ca="1" si="6"/>
        <v>46194.014995717589</v>
      </c>
      <c r="V26" s="10">
        <v>25</v>
      </c>
    </row>
    <row r="27" spans="1:22" ht="19.95" customHeight="1" x14ac:dyDescent="0.3">
      <c r="A27" s="10">
        <v>44</v>
      </c>
      <c r="B27" s="12" t="s">
        <v>63</v>
      </c>
      <c r="C27" s="8">
        <v>3</v>
      </c>
      <c r="D27" s="8" t="s">
        <v>64</v>
      </c>
      <c r="E27" s="9">
        <v>0.44444444444444398</v>
      </c>
      <c r="F27" s="9" t="s">
        <v>113</v>
      </c>
      <c r="G27" s="9">
        <f t="shared" ca="1" si="0"/>
        <v>46194.456468055556</v>
      </c>
      <c r="H27" s="9">
        <f t="shared" ca="1" si="1"/>
        <v>46194.012023611111</v>
      </c>
      <c r="I27" s="8">
        <f t="shared" ca="1" si="2"/>
        <v>26</v>
      </c>
      <c r="J27" s="8">
        <f ca="1">IF(F27="","",COUNTIFS(C$2:C$201,#REF!,H$2:H$201,"&lt;="&amp;H27))</f>
        <v>0</v>
      </c>
      <c r="K27" s="9">
        <f t="shared" ca="1" si="7"/>
        <v>1.2430555216269568E-4</v>
      </c>
      <c r="L27" s="9">
        <f t="shared" ca="1" si="8"/>
        <v>0.60590740740978311</v>
      </c>
      <c r="M27" s="9">
        <f t="shared" ca="1" si="9"/>
        <v>1.7407407431164756E-3</v>
      </c>
      <c r="N27" s="8">
        <v>2</v>
      </c>
      <c r="O27" s="8">
        <v>8</v>
      </c>
      <c r="P27" s="10">
        <v>26</v>
      </c>
      <c r="Q27" s="8">
        <v>47</v>
      </c>
      <c r="R27" s="12" t="str">
        <f t="shared" si="3"/>
        <v>KAIFFER NICOLAS</v>
      </c>
      <c r="S27" s="8">
        <f t="shared" si="4"/>
        <v>3</v>
      </c>
      <c r="T27" s="9">
        <f t="shared" ca="1" si="5"/>
        <v>46194.620995949073</v>
      </c>
      <c r="U27" s="9">
        <f t="shared" ca="1" si="6"/>
        <v>46194.015088541666</v>
      </c>
      <c r="V27" s="10">
        <v>26</v>
      </c>
    </row>
    <row r="28" spans="1:22" ht="19.95" customHeight="1" x14ac:dyDescent="0.3">
      <c r="A28" s="10">
        <v>79</v>
      </c>
      <c r="B28" s="12" t="s">
        <v>22</v>
      </c>
      <c r="C28" s="8">
        <v>3</v>
      </c>
      <c r="D28" s="8" t="s">
        <v>51</v>
      </c>
      <c r="E28" s="9">
        <v>0.47638888888888886</v>
      </c>
      <c r="F28" s="9" t="s">
        <v>113</v>
      </c>
      <c r="G28" s="9">
        <f t="shared" ca="1" si="0"/>
        <v>46194.488417361114</v>
      </c>
      <c r="H28" s="9">
        <f t="shared" ca="1" si="1"/>
        <v>46194.012028472222</v>
      </c>
      <c r="I28" s="8">
        <f t="shared" ca="1" si="2"/>
        <v>27</v>
      </c>
      <c r="J28" s="8">
        <f ca="1">IF(F28="","",COUNTIFS(C$2:C$201,C28,H$2:H$201,"&lt;="&amp;H28))</f>
        <v>4</v>
      </c>
      <c r="K28" s="9">
        <f t="shared" ca="1" si="7"/>
        <v>4.8611109377816319E-6</v>
      </c>
      <c r="L28" s="9">
        <f t="shared" ca="1" si="8"/>
        <v>0.60591226852072089</v>
      </c>
      <c r="M28" s="9">
        <f t="shared" ca="1" si="9"/>
        <v>1.7456018540542573E-3</v>
      </c>
      <c r="N28" s="8">
        <v>3</v>
      </c>
      <c r="O28" s="8">
        <v>8</v>
      </c>
      <c r="P28" s="10">
        <v>27</v>
      </c>
      <c r="Q28" s="8">
        <v>78</v>
      </c>
      <c r="R28" s="12" t="str">
        <f t="shared" si="3"/>
        <v>DORCE MICHEL STEVENSON</v>
      </c>
      <c r="S28" s="8">
        <f t="shared" si="4"/>
        <v>3</v>
      </c>
      <c r="T28" s="9">
        <f t="shared" ca="1" si="5"/>
        <v>46194.621286921298</v>
      </c>
      <c r="U28" s="9">
        <f t="shared" ca="1" si="6"/>
        <v>46194.015374652779</v>
      </c>
      <c r="V28" s="10">
        <v>27</v>
      </c>
    </row>
    <row r="29" spans="1:22" ht="19.95" customHeight="1" x14ac:dyDescent="0.3">
      <c r="A29" s="10">
        <v>13</v>
      </c>
      <c r="B29" s="12" t="s">
        <v>83</v>
      </c>
      <c r="C29" s="8" t="s">
        <v>44</v>
      </c>
      <c r="D29" s="8" t="s">
        <v>56</v>
      </c>
      <c r="E29" s="9">
        <v>0.42430555555555599</v>
      </c>
      <c r="F29" s="9" t="s">
        <v>113</v>
      </c>
      <c r="G29" s="9">
        <f t="shared" ca="1" si="0"/>
        <v>46194.436338425927</v>
      </c>
      <c r="H29" s="9">
        <f t="shared" ca="1" si="1"/>
        <v>46194.012032870371</v>
      </c>
      <c r="I29" s="8">
        <f t="shared" ca="1" si="2"/>
        <v>28</v>
      </c>
      <c r="J29" s="8">
        <f ca="1">IF(F29="","",COUNTIFS(C$2:C$201,C29,H$2:H$201,"&lt;="&amp;H29))</f>
        <v>1</v>
      </c>
      <c r="K29" s="9">
        <f t="shared" ca="1" si="7"/>
        <v>4.3981490307487547E-6</v>
      </c>
      <c r="L29" s="9">
        <f t="shared" ca="1" si="8"/>
        <v>0.60591666666975164</v>
      </c>
      <c r="M29" s="9">
        <f t="shared" ca="1" si="9"/>
        <v>1.750000003085006E-3</v>
      </c>
      <c r="N29" s="8">
        <v>4</v>
      </c>
      <c r="O29" s="8">
        <v>8</v>
      </c>
      <c r="P29" s="10">
        <v>28</v>
      </c>
      <c r="Q29" s="8">
        <v>80</v>
      </c>
      <c r="R29" s="12" t="str">
        <f t="shared" si="3"/>
        <v>BONNEFILLE ROMAIN</v>
      </c>
      <c r="S29" s="8">
        <f t="shared" si="4"/>
        <v>3</v>
      </c>
      <c r="T29" s="9">
        <f t="shared" ca="1" si="5"/>
        <v>46194.621555324076</v>
      </c>
      <c r="U29" s="9">
        <f t="shared" ca="1" si="6"/>
        <v>46194.015638657409</v>
      </c>
      <c r="V29" s="10">
        <v>28</v>
      </c>
    </row>
    <row r="30" spans="1:22" ht="19.95" customHeight="1" x14ac:dyDescent="0.3">
      <c r="A30" s="10">
        <v>47</v>
      </c>
      <c r="B30" s="12" t="s">
        <v>19</v>
      </c>
      <c r="C30" s="8">
        <v>3</v>
      </c>
      <c r="D30" s="8" t="s">
        <v>62</v>
      </c>
      <c r="E30" s="9">
        <v>0.44583333333333303</v>
      </c>
      <c r="F30" s="9" t="s">
        <v>113</v>
      </c>
      <c r="G30" s="9">
        <f t="shared" ca="1" si="0"/>
        <v>46194.457913078702</v>
      </c>
      <c r="H30" s="9">
        <f t="shared" ca="1" si="1"/>
        <v>46194.012079745371</v>
      </c>
      <c r="I30" s="8">
        <f t="shared" ca="1" si="2"/>
        <v>29</v>
      </c>
      <c r="J30" s="8">
        <f ca="1">IF(F30="","",COUNTIFS(C$2:C$201,#REF!,H$2:H$201,"&lt;="&amp;H30))</f>
        <v>0</v>
      </c>
      <c r="K30" s="9">
        <f t="shared" ca="1" si="7"/>
        <v>4.6875000407453626E-5</v>
      </c>
      <c r="L30" s="9">
        <f t="shared" ca="1" si="8"/>
        <v>0.60596354167015909</v>
      </c>
      <c r="M30" s="9">
        <f t="shared" ca="1" si="9"/>
        <v>1.7968750034924597E-3</v>
      </c>
      <c r="N30" s="8">
        <v>1</v>
      </c>
      <c r="O30" s="8">
        <v>10</v>
      </c>
      <c r="P30" s="10">
        <v>29</v>
      </c>
      <c r="Q30" s="8">
        <v>2</v>
      </c>
      <c r="R30" s="12" t="str">
        <f t="shared" si="3"/>
        <v>LAPIERRE NOE</v>
      </c>
      <c r="S30" s="8">
        <f t="shared" si="4"/>
        <v>1</v>
      </c>
      <c r="T30" s="9">
        <f t="shared" ca="1" si="5"/>
        <v>46194.62156446759</v>
      </c>
      <c r="U30" s="9">
        <f t="shared" ca="1" si="6"/>
        <v>46194.015600925923</v>
      </c>
      <c r="V30" s="10">
        <v>29</v>
      </c>
    </row>
    <row r="31" spans="1:22" ht="19.95" customHeight="1" x14ac:dyDescent="0.3">
      <c r="A31" s="10">
        <v>41</v>
      </c>
      <c r="B31" s="12" t="s">
        <v>59</v>
      </c>
      <c r="C31" s="8">
        <v>3</v>
      </c>
      <c r="D31" s="8" t="s">
        <v>60</v>
      </c>
      <c r="E31" s="9">
        <v>0.44236111111111098</v>
      </c>
      <c r="F31" s="9" t="s">
        <v>113</v>
      </c>
      <c r="G31" s="9">
        <f t="shared" ca="1" si="0"/>
        <v>46194.454529976851</v>
      </c>
      <c r="H31" s="9">
        <f t="shared" ca="1" si="1"/>
        <v>46194.012168865738</v>
      </c>
      <c r="I31" s="8">
        <f t="shared" ca="1" si="2"/>
        <v>30</v>
      </c>
      <c r="J31" s="8">
        <f ca="1">IF(F31="","",COUNTIFS(C$2:C$201,C34,H$2:H$201,"&lt;="&amp;H31))</f>
        <v>6</v>
      </c>
      <c r="K31" s="9">
        <f t="shared" ca="1" si="7"/>
        <v>8.9120367192663252E-5</v>
      </c>
      <c r="L31" s="9">
        <f t="shared" ca="1" si="8"/>
        <v>0.60605266203735175</v>
      </c>
      <c r="M31" s="9">
        <f t="shared" ca="1" si="9"/>
        <v>1.8859953706851229E-3</v>
      </c>
      <c r="N31" s="8">
        <v>2</v>
      </c>
      <c r="O31" s="8">
        <v>10</v>
      </c>
      <c r="P31" s="10">
        <v>30</v>
      </c>
      <c r="Q31" s="8">
        <v>39</v>
      </c>
      <c r="R31" s="12" t="str">
        <f t="shared" si="3"/>
        <v>CHAUMONT COLIN</v>
      </c>
      <c r="S31" s="8">
        <f t="shared" si="4"/>
        <v>3</v>
      </c>
      <c r="T31" s="9">
        <f t="shared" ca="1" si="5"/>
        <v>46194.621667939813</v>
      </c>
      <c r="U31" s="9">
        <f t="shared" ca="1" si="6"/>
        <v>46194.015615277778</v>
      </c>
      <c r="V31" s="10">
        <v>30</v>
      </c>
    </row>
    <row r="32" spans="1:22" ht="19.95" customHeight="1" x14ac:dyDescent="0.3">
      <c r="A32" s="10">
        <v>80</v>
      </c>
      <c r="B32" s="12" t="s">
        <v>36</v>
      </c>
      <c r="C32" s="8">
        <v>3</v>
      </c>
      <c r="D32" s="8" t="s">
        <v>51</v>
      </c>
      <c r="E32" s="9">
        <v>0.47430555555555554</v>
      </c>
      <c r="F32" s="9" t="s">
        <v>113</v>
      </c>
      <c r="G32" s="9">
        <f t="shared" ca="1" si="0"/>
        <v>46194.486517824073</v>
      </c>
      <c r="H32" s="9">
        <f t="shared" ca="1" si="1"/>
        <v>46194.012212268513</v>
      </c>
      <c r="I32" s="8">
        <f t="shared" ca="1" si="2"/>
        <v>31</v>
      </c>
      <c r="J32" s="8">
        <f ca="1">IF(F32="","",COUNTIFS(C$2:C$201,C32,H$2:H$201,"&lt;="&amp;H32))</f>
        <v>7</v>
      </c>
      <c r="K32" s="9">
        <f t="shared" ca="1" si="7"/>
        <v>4.3402775190770626E-5</v>
      </c>
      <c r="L32" s="9">
        <f t="shared" ca="1" si="8"/>
        <v>0.60609606481254252</v>
      </c>
      <c r="M32" s="9">
        <f t="shared" ca="1" si="9"/>
        <v>1.9293981458758935E-3</v>
      </c>
      <c r="N32" s="8">
        <v>3</v>
      </c>
      <c r="O32" s="8">
        <v>10</v>
      </c>
      <c r="P32" s="10">
        <v>31</v>
      </c>
      <c r="Q32" s="8">
        <v>44</v>
      </c>
      <c r="R32" s="12" t="str">
        <f t="shared" si="3"/>
        <v>GERRAND ANTONY</v>
      </c>
      <c r="S32" s="8">
        <f t="shared" si="4"/>
        <v>3</v>
      </c>
      <c r="T32" s="9">
        <f t="shared" ca="1" si="5"/>
        <v>46194.621737731482</v>
      </c>
      <c r="U32" s="9">
        <f t="shared" ca="1" si="6"/>
        <v>46194.015641666672</v>
      </c>
      <c r="V32" s="10">
        <v>31</v>
      </c>
    </row>
    <row r="33" spans="1:22" ht="19.95" customHeight="1" x14ac:dyDescent="0.3">
      <c r="A33" s="10">
        <v>4</v>
      </c>
      <c r="B33" s="12" t="s">
        <v>24</v>
      </c>
      <c r="C33" s="8">
        <v>3</v>
      </c>
      <c r="D33" s="8" t="s">
        <v>51</v>
      </c>
      <c r="E33" s="9">
        <v>0.41875000000000001</v>
      </c>
      <c r="F33" s="9" t="s">
        <v>113</v>
      </c>
      <c r="G33" s="9">
        <f t="shared" ca="1" si="0"/>
        <v>46194.430979166667</v>
      </c>
      <c r="H33" s="9">
        <f t="shared" ca="1" si="1"/>
        <v>46194.01222916667</v>
      </c>
      <c r="I33" s="8">
        <f t="shared" ca="1" si="2"/>
        <v>32</v>
      </c>
      <c r="J33" s="8">
        <f ca="1">IF(F33="","",COUNTIFS(C$2:C$201,C32,H$2:H$201,"&lt;="&amp;H33))</f>
        <v>8</v>
      </c>
      <c r="K33" s="9">
        <f t="shared" ca="1" si="7"/>
        <v>1.689815690042451E-5</v>
      </c>
      <c r="L33" s="9">
        <f t="shared" ca="1" si="8"/>
        <v>0.60611296296944295</v>
      </c>
      <c r="M33" s="9">
        <f t="shared" ca="1" si="9"/>
        <v>1.946296302776318E-3</v>
      </c>
      <c r="N33" s="11">
        <v>4</v>
      </c>
      <c r="O33" s="11">
        <v>10</v>
      </c>
      <c r="P33" s="10">
        <v>32</v>
      </c>
      <c r="Q33" s="8">
        <v>56</v>
      </c>
      <c r="R33" s="12" t="str">
        <f t="shared" si="3"/>
        <v>LEONE MATTHIEU</v>
      </c>
      <c r="S33" s="8">
        <f t="shared" si="4"/>
        <v>2</v>
      </c>
      <c r="T33" s="9">
        <f t="shared" ca="1" si="5"/>
        <v>46194.621785185183</v>
      </c>
      <c r="U33" s="9">
        <f t="shared" ca="1" si="6"/>
        <v>46194.015672222216</v>
      </c>
      <c r="V33" s="10">
        <v>32</v>
      </c>
    </row>
    <row r="34" spans="1:22" ht="19.95" customHeight="1" x14ac:dyDescent="0.3">
      <c r="A34" s="10">
        <v>5</v>
      </c>
      <c r="B34" s="12" t="s">
        <v>21</v>
      </c>
      <c r="C34" s="8">
        <v>3</v>
      </c>
      <c r="D34" s="8" t="s">
        <v>51</v>
      </c>
      <c r="E34" s="9">
        <v>0.41944444444444401</v>
      </c>
      <c r="F34" s="9" t="s">
        <v>113</v>
      </c>
      <c r="G34" s="9">
        <f t="shared" ref="G34:G65" ca="1" si="11">IF(F34&lt;&gt;"",IF(G34="",NOW(),G34),"")</f>
        <v>46194.431685416668</v>
      </c>
      <c r="H34" s="9">
        <f t="shared" ref="H34:H65" ca="1" si="12">IF(G34="","",G34-E34)</f>
        <v>46194.012240972224</v>
      </c>
      <c r="I34" s="8">
        <f t="shared" ref="I34:I65" ca="1" si="13">IF(H34="","",RANK(H34,H$2:H$171,1))</f>
        <v>33</v>
      </c>
      <c r="J34" s="8">
        <f ca="1">IF(F34="","",COUNTIFS(C$2:C$201,C33,H$2:H$201,"&lt;="&amp;H34))</f>
        <v>9</v>
      </c>
      <c r="K34" s="9">
        <f t="shared" ca="1" si="7"/>
        <v>1.1805554095190018E-5</v>
      </c>
      <c r="L34" s="9">
        <f t="shared" ca="1" si="8"/>
        <v>0.60612476852353814</v>
      </c>
      <c r="M34" s="9">
        <f t="shared" ca="1" si="9"/>
        <v>1.9581018568715081E-3</v>
      </c>
      <c r="N34" s="11">
        <v>1</v>
      </c>
      <c r="O34" s="11">
        <v>11</v>
      </c>
      <c r="P34" s="10">
        <v>33</v>
      </c>
      <c r="Q34" s="8">
        <v>41</v>
      </c>
      <c r="R34" s="12" t="str">
        <f t="shared" ref="R34:R65" si="14">_xlfn.XLOOKUP(Q34,A:A,B:B,"")</f>
        <v>D'ASCOLI JEAN-PIERRE</v>
      </c>
      <c r="S34" s="8">
        <f t="shared" ref="S34:S65" si="15">_xlfn.XLOOKUP(R34,B:B,C:C,"")</f>
        <v>3</v>
      </c>
      <c r="T34" s="9">
        <f t="shared" ref="T34:T65" ca="1" si="16">IF(Q34&lt;&gt;"",IF(T34="",NOW(),T34),"")</f>
        <v>46194.621923611114</v>
      </c>
      <c r="U34" s="9">
        <f t="shared" ca="1" si="6"/>
        <v>46194.015798842593</v>
      </c>
      <c r="V34" s="10">
        <v>33</v>
      </c>
    </row>
    <row r="35" spans="1:22" ht="19.95" customHeight="1" x14ac:dyDescent="0.3">
      <c r="A35" s="10">
        <v>76</v>
      </c>
      <c r="B35" s="12" t="s">
        <v>53</v>
      </c>
      <c r="C35" s="8">
        <v>4</v>
      </c>
      <c r="D35" s="8" t="s">
        <v>70</v>
      </c>
      <c r="E35" s="9">
        <v>0.46597222222222201</v>
      </c>
      <c r="F35" s="9" t="s">
        <v>113</v>
      </c>
      <c r="G35" s="9">
        <f t="shared" ca="1" si="11"/>
        <v>46194.478231018518</v>
      </c>
      <c r="H35" s="9">
        <f t="shared" ca="1" si="12"/>
        <v>46194.012258796298</v>
      </c>
      <c r="I35" s="8">
        <f t="shared" ca="1" si="13"/>
        <v>34</v>
      </c>
      <c r="J35" s="8">
        <f ca="1">IF(F35="","",COUNTIFS(C$2:C$201,C35,H$2:H$201,"&lt;="&amp;H35))</f>
        <v>1</v>
      </c>
      <c r="K35" s="9">
        <f t="shared" ref="K35:K66" ca="1" si="17">H35-H34</f>
        <v>1.782407343853265E-5</v>
      </c>
      <c r="L35" s="9">
        <f t="shared" ref="L35:L66" ca="1" si="18">K35+L34</f>
        <v>0.60614259259697667</v>
      </c>
      <c r="M35" s="9">
        <f t="shared" ref="M35:M58" ca="1" si="19">M34+K35</f>
        <v>1.9759259303100407E-3</v>
      </c>
      <c r="N35" s="8">
        <v>2</v>
      </c>
      <c r="O35" s="8">
        <v>11</v>
      </c>
      <c r="P35" s="10">
        <v>34</v>
      </c>
      <c r="Q35" s="8">
        <v>42</v>
      </c>
      <c r="R35" s="12" t="str">
        <f t="shared" si="14"/>
        <v>DEBUCK LAURENT</v>
      </c>
      <c r="S35" s="8">
        <f t="shared" si="15"/>
        <v>3</v>
      </c>
      <c r="T35" s="9">
        <f t="shared" ca="1" si="16"/>
        <v>46194.622069675926</v>
      </c>
      <c r="U35" s="9">
        <f t="shared" ca="1" si="6"/>
        <v>46194.015927083332</v>
      </c>
      <c r="V35" s="10">
        <v>34</v>
      </c>
    </row>
    <row r="36" spans="1:22" ht="19.95" customHeight="1" x14ac:dyDescent="0.3">
      <c r="A36" s="10">
        <v>37</v>
      </c>
      <c r="B36" s="12" t="s">
        <v>55</v>
      </c>
      <c r="C36" s="8">
        <v>3</v>
      </c>
      <c r="D36" s="8" t="s">
        <v>56</v>
      </c>
      <c r="E36" s="9">
        <v>0.44027777777777799</v>
      </c>
      <c r="F36" s="9" t="s">
        <v>113</v>
      </c>
      <c r="G36" s="9">
        <f t="shared" ca="1" si="11"/>
        <v>46194.452549189817</v>
      </c>
      <c r="H36" s="9">
        <f t="shared" ca="1" si="12"/>
        <v>46194.012271412037</v>
      </c>
      <c r="I36" s="8">
        <f t="shared" ca="1" si="13"/>
        <v>35</v>
      </c>
      <c r="J36" s="8">
        <f ca="1">IF(F36="","",COUNTIFS(C$2:C$201,C39,H$2:H$201,"&lt;="&amp;H36))</f>
        <v>3</v>
      </c>
      <c r="K36" s="9">
        <f t="shared" ca="1" si="17"/>
        <v>1.2615739251486957E-5</v>
      </c>
      <c r="L36" s="9">
        <f t="shared" ca="1" si="18"/>
        <v>0.60615520833622816</v>
      </c>
      <c r="M36" s="9">
        <f t="shared" ca="1" si="19"/>
        <v>1.9885416695615277E-3</v>
      </c>
      <c r="N36" s="8">
        <v>3</v>
      </c>
      <c r="O36" s="8">
        <v>11</v>
      </c>
      <c r="P36" s="10">
        <v>35</v>
      </c>
      <c r="Q36" s="8">
        <v>16</v>
      </c>
      <c r="R36" s="12" t="str">
        <f t="shared" si="14"/>
        <v>RENAUT JULES</v>
      </c>
      <c r="S36" s="8" t="str">
        <f t="shared" si="15"/>
        <v>13/14</v>
      </c>
      <c r="T36" s="9">
        <f t="shared" ca="1" si="16"/>
        <v>46194.622242129626</v>
      </c>
      <c r="U36" s="9">
        <f t="shared" ca="1" si="6"/>
        <v>46194.016086921292</v>
      </c>
      <c r="V36" s="10">
        <v>35</v>
      </c>
    </row>
    <row r="37" spans="1:22" ht="19.95" customHeight="1" x14ac:dyDescent="0.3">
      <c r="A37" s="10">
        <v>2</v>
      </c>
      <c r="B37" s="12" t="s">
        <v>13</v>
      </c>
      <c r="C37" s="8">
        <v>1</v>
      </c>
      <c r="D37" s="8" t="s">
        <v>51</v>
      </c>
      <c r="E37" s="9">
        <v>0.41736111111111113</v>
      </c>
      <c r="F37" s="9" t="s">
        <v>113</v>
      </c>
      <c r="G37" s="9">
        <f t="shared" ca="1" si="11"/>
        <v>46194.429641319446</v>
      </c>
      <c r="H37" s="9">
        <f t="shared" ca="1" si="12"/>
        <v>46194.012280208335</v>
      </c>
      <c r="I37" s="8">
        <f t="shared" ca="1" si="13"/>
        <v>36</v>
      </c>
      <c r="J37" s="8">
        <f ca="1">IF(F37="","",COUNTIFS(C$2:C$201,C42,H$2:H$201,"&lt;="&amp;H37))</f>
        <v>10</v>
      </c>
      <c r="K37" s="9">
        <f t="shared" ca="1" si="17"/>
        <v>8.7962980614975095E-6</v>
      </c>
      <c r="L37" s="9">
        <f t="shared" ca="1" si="18"/>
        <v>0.60616400463428965</v>
      </c>
      <c r="M37" s="9">
        <f t="shared" ca="1" si="19"/>
        <v>1.9973379676230252E-3</v>
      </c>
      <c r="N37" s="11">
        <v>4</v>
      </c>
      <c r="O37" s="11">
        <v>11</v>
      </c>
      <c r="P37" s="10">
        <v>36</v>
      </c>
      <c r="Q37" s="8">
        <v>81</v>
      </c>
      <c r="R37" s="12" t="str">
        <f t="shared" si="14"/>
        <v>RAMBAUD JULIEN</v>
      </c>
      <c r="S37" s="8">
        <f t="shared" si="15"/>
        <v>3</v>
      </c>
      <c r="T37" s="9">
        <f t="shared" ca="1" si="16"/>
        <v>46194.62254074074</v>
      </c>
      <c r="U37" s="9">
        <f t="shared" ref="U37:U100" ca="1" si="20">IF(M37="","",T37-L37)</f>
        <v>46194.016376736108</v>
      </c>
      <c r="V37" s="10">
        <v>36</v>
      </c>
    </row>
    <row r="38" spans="1:22" ht="19.95" customHeight="1" x14ac:dyDescent="0.3">
      <c r="A38" s="10">
        <v>73</v>
      </c>
      <c r="B38" s="12" t="s">
        <v>101</v>
      </c>
      <c r="C38" s="8">
        <v>4</v>
      </c>
      <c r="D38" s="8" t="s">
        <v>115</v>
      </c>
      <c r="E38" s="9">
        <v>0.46388888888888902</v>
      </c>
      <c r="F38" s="9" t="s">
        <v>113</v>
      </c>
      <c r="G38" s="9">
        <f t="shared" ca="1" si="11"/>
        <v>46194.476186921296</v>
      </c>
      <c r="H38" s="9">
        <f t="shared" ca="1" si="12"/>
        <v>46194.012298032409</v>
      </c>
      <c r="I38" s="8">
        <f t="shared" ca="1" si="13"/>
        <v>37</v>
      </c>
      <c r="J38" s="8">
        <f ca="1">IF(F38="","",COUNTIFS(C$2:C$201,#REF!,H$2:H$201,"&lt;="&amp;H38))</f>
        <v>0</v>
      </c>
      <c r="K38" s="9">
        <f t="shared" ca="1" si="17"/>
        <v>1.782407343853265E-5</v>
      </c>
      <c r="L38" s="9">
        <f t="shared" ca="1" si="18"/>
        <v>0.60618182870772819</v>
      </c>
      <c r="M38" s="9">
        <f t="shared" ca="1" si="19"/>
        <v>2.0151620410615578E-3</v>
      </c>
      <c r="N38" s="8">
        <v>1</v>
      </c>
      <c r="O38" s="8">
        <v>12</v>
      </c>
      <c r="P38" s="10">
        <v>37</v>
      </c>
      <c r="Q38" s="8">
        <v>46</v>
      </c>
      <c r="R38" s="12" t="str">
        <f t="shared" si="14"/>
        <v>TOFFANIN ALEXIS</v>
      </c>
      <c r="S38" s="8">
        <f t="shared" si="15"/>
        <v>3</v>
      </c>
      <c r="T38" s="9">
        <f t="shared" ca="1" si="16"/>
        <v>46194.622832986111</v>
      </c>
      <c r="U38" s="9">
        <f t="shared" ca="1" si="20"/>
        <v>46194.016651157406</v>
      </c>
      <c r="V38" s="10">
        <v>37</v>
      </c>
    </row>
    <row r="39" spans="1:22" ht="19.95" customHeight="1" x14ac:dyDescent="0.3">
      <c r="A39" s="10">
        <v>19</v>
      </c>
      <c r="B39" s="12" t="s">
        <v>42</v>
      </c>
      <c r="C39" s="8" t="s">
        <v>32</v>
      </c>
      <c r="D39" s="8" t="s">
        <v>56</v>
      </c>
      <c r="E39" s="9">
        <v>0.42847222222222198</v>
      </c>
      <c r="F39" s="9" t="s">
        <v>113</v>
      </c>
      <c r="G39" s="9">
        <f t="shared" ca="1" si="11"/>
        <v>46194.440795138886</v>
      </c>
      <c r="H39" s="9">
        <f t="shared" ca="1" si="12"/>
        <v>46194.012322916664</v>
      </c>
      <c r="I39" s="8">
        <f t="shared" ca="1" si="13"/>
        <v>38</v>
      </c>
      <c r="J39" s="8">
        <f ca="1">IF(F39="","",COUNTIFS(C$2:C$201,C40,H$2:H$201,"&lt;="&amp;H39))</f>
        <v>10</v>
      </c>
      <c r="K39" s="9">
        <f t="shared" ca="1" si="17"/>
        <v>2.4884255253709853E-5</v>
      </c>
      <c r="L39" s="9">
        <f t="shared" ca="1" si="18"/>
        <v>0.6062067129629819</v>
      </c>
      <c r="M39" s="9">
        <f t="shared" ca="1" si="19"/>
        <v>2.0400462963152677E-3</v>
      </c>
      <c r="N39" s="8">
        <v>2</v>
      </c>
      <c r="O39" s="8">
        <v>12</v>
      </c>
      <c r="P39" s="10">
        <v>38</v>
      </c>
      <c r="Q39" s="8">
        <v>77</v>
      </c>
      <c r="R39" s="12" t="str">
        <f t="shared" si="14"/>
        <v>CHEMINOT PHILIBERT</v>
      </c>
      <c r="S39" s="8">
        <f t="shared" si="15"/>
        <v>3</v>
      </c>
      <c r="T39" s="9">
        <f t="shared" ca="1" si="16"/>
        <v>46194.622946875003</v>
      </c>
      <c r="U39" s="9">
        <f t="shared" ca="1" si="20"/>
        <v>46194.016740162042</v>
      </c>
      <c r="V39" s="10">
        <v>38</v>
      </c>
    </row>
    <row r="40" spans="1:22" ht="19.95" customHeight="1" x14ac:dyDescent="0.3">
      <c r="A40" s="10">
        <v>39</v>
      </c>
      <c r="B40" s="12" t="s">
        <v>57</v>
      </c>
      <c r="C40" s="8">
        <v>3</v>
      </c>
      <c r="D40" s="8" t="s">
        <v>56</v>
      </c>
      <c r="E40" s="9">
        <v>0.44166666666666698</v>
      </c>
      <c r="F40" s="9" t="s">
        <v>113</v>
      </c>
      <c r="G40" s="9">
        <f t="shared" ca="1" si="11"/>
        <v>46194.454015162039</v>
      </c>
      <c r="H40" s="9">
        <f t="shared" ca="1" si="12"/>
        <v>46194.012348495373</v>
      </c>
      <c r="I40" s="8">
        <f t="shared" ca="1" si="13"/>
        <v>39</v>
      </c>
      <c r="J40" s="8">
        <f ca="1">IF(F40="","",COUNTIFS(C$2:C$201,C43,H$2:H$201,"&lt;="&amp;H40))</f>
        <v>1</v>
      </c>
      <c r="K40" s="9">
        <f t="shared" ca="1" si="17"/>
        <v>2.557870902819559E-5</v>
      </c>
      <c r="L40" s="9">
        <f t="shared" ca="1" si="18"/>
        <v>0.60623229167201009</v>
      </c>
      <c r="M40" s="9">
        <f t="shared" ca="1" si="19"/>
        <v>2.0656250053434633E-3</v>
      </c>
      <c r="N40" s="8">
        <v>3</v>
      </c>
      <c r="O40" s="8">
        <v>12</v>
      </c>
      <c r="P40" s="10">
        <v>39</v>
      </c>
      <c r="Q40" s="8">
        <v>73</v>
      </c>
      <c r="R40" s="12" t="str">
        <f t="shared" si="14"/>
        <v>LONGO JANNIE</v>
      </c>
      <c r="S40" s="8">
        <f t="shared" si="15"/>
        <v>4</v>
      </c>
      <c r="T40" s="9">
        <f t="shared" ca="1" si="16"/>
        <v>46194.622972685182</v>
      </c>
      <c r="U40" s="9">
        <f t="shared" ca="1" si="20"/>
        <v>46194.016740393512</v>
      </c>
      <c r="V40" s="10">
        <v>39</v>
      </c>
    </row>
    <row r="41" spans="1:22" ht="19.95" customHeight="1" x14ac:dyDescent="0.3">
      <c r="A41" s="10">
        <v>18</v>
      </c>
      <c r="B41" s="12" t="s">
        <v>11</v>
      </c>
      <c r="C41" s="8" t="s">
        <v>32</v>
      </c>
      <c r="D41" s="8" t="s">
        <v>80</v>
      </c>
      <c r="E41" s="9">
        <v>0.42777777777777798</v>
      </c>
      <c r="F41" s="9" t="s">
        <v>113</v>
      </c>
      <c r="G41" s="9">
        <f t="shared" ca="1" si="11"/>
        <v>46194.44030185185</v>
      </c>
      <c r="H41" s="9">
        <f t="shared" ca="1" si="12"/>
        <v>46194.012524074074</v>
      </c>
      <c r="I41" s="8">
        <f t="shared" ca="1" si="13"/>
        <v>40</v>
      </c>
      <c r="J41" s="8">
        <f ca="1">IF(F41="","",COUNTIFS(C$2:C$201,C42,H$2:H$201,"&lt;="&amp;H41))</f>
        <v>11</v>
      </c>
      <c r="K41" s="9">
        <f t="shared" ca="1" si="17"/>
        <v>1.7557870160089806E-4</v>
      </c>
      <c r="L41" s="9">
        <f t="shared" ca="1" si="18"/>
        <v>0.60640787037361099</v>
      </c>
      <c r="M41" s="9">
        <f t="shared" ca="1" si="19"/>
        <v>2.2412037069443613E-3</v>
      </c>
      <c r="N41" s="8">
        <v>4</v>
      </c>
      <c r="O41" s="8">
        <v>12</v>
      </c>
      <c r="P41" s="10">
        <v>40</v>
      </c>
      <c r="Q41" s="8">
        <v>23</v>
      </c>
      <c r="R41" s="12" t="str">
        <f t="shared" si="14"/>
        <v>PERONNIER EVAN</v>
      </c>
      <c r="S41" s="8" t="str">
        <f t="shared" si="15"/>
        <v>NL</v>
      </c>
      <c r="T41" s="9">
        <f t="shared" ca="1" si="16"/>
        <v>46194.623081597223</v>
      </c>
      <c r="U41" s="9">
        <f t="shared" ca="1" si="20"/>
        <v>46194.016673726852</v>
      </c>
      <c r="V41" s="10">
        <v>40</v>
      </c>
    </row>
    <row r="42" spans="1:22" ht="19.95" customHeight="1" x14ac:dyDescent="0.3">
      <c r="A42" s="10">
        <v>43</v>
      </c>
      <c r="B42" s="12" t="s">
        <v>23</v>
      </c>
      <c r="C42" s="8">
        <v>3</v>
      </c>
      <c r="D42" s="8" t="s">
        <v>56</v>
      </c>
      <c r="E42" s="9">
        <v>0.44374999999999998</v>
      </c>
      <c r="F42" s="9" t="s">
        <v>113</v>
      </c>
      <c r="G42" s="9">
        <f t="shared" ca="1" si="11"/>
        <v>46194.456289583337</v>
      </c>
      <c r="H42" s="9">
        <f t="shared" ca="1" si="12"/>
        <v>46194.012539583338</v>
      </c>
      <c r="I42" s="8">
        <f t="shared" ca="1" si="13"/>
        <v>41</v>
      </c>
      <c r="J42" s="8">
        <f ca="1">IF(F42="","",COUNTIFS(C$2:C$201,C45,H$2:H$201,"&lt;="&amp;H42))</f>
        <v>12</v>
      </c>
      <c r="K42" s="9">
        <f t="shared" ca="1" si="17"/>
        <v>1.5509263903368264E-5</v>
      </c>
      <c r="L42" s="9">
        <f t="shared" ca="1" si="18"/>
        <v>0.60642337963751436</v>
      </c>
      <c r="M42" s="9">
        <f t="shared" ca="1" si="19"/>
        <v>2.2567129708477296E-3</v>
      </c>
      <c r="N42" s="8">
        <v>1</v>
      </c>
      <c r="O42" s="8">
        <v>13</v>
      </c>
      <c r="P42" s="10">
        <v>41</v>
      </c>
      <c r="Q42" s="8">
        <v>4</v>
      </c>
      <c r="R42" s="12" t="str">
        <f t="shared" si="14"/>
        <v>UHRY GILLES</v>
      </c>
      <c r="S42" s="8">
        <f t="shared" si="15"/>
        <v>3</v>
      </c>
      <c r="T42" s="9">
        <f t="shared" ca="1" si="16"/>
        <v>46194.623124768521</v>
      </c>
      <c r="U42" s="9">
        <f t="shared" ca="1" si="20"/>
        <v>46194.016701388886</v>
      </c>
      <c r="V42" s="10">
        <v>41</v>
      </c>
    </row>
    <row r="43" spans="1:22" ht="19.95" customHeight="1" x14ac:dyDescent="0.3">
      <c r="A43" s="10">
        <v>16</v>
      </c>
      <c r="B43" s="12" t="s">
        <v>100</v>
      </c>
      <c r="C43" s="8" t="s">
        <v>44</v>
      </c>
      <c r="D43" s="8" t="s">
        <v>81</v>
      </c>
      <c r="E43" s="9">
        <v>0.42638888888888898</v>
      </c>
      <c r="F43" s="9" t="s">
        <v>113</v>
      </c>
      <c r="G43" s="9">
        <f t="shared" ca="1" si="11"/>
        <v>46194.438930671298</v>
      </c>
      <c r="H43" s="9">
        <f t="shared" ca="1" si="12"/>
        <v>46194.012541782409</v>
      </c>
      <c r="I43" s="8">
        <f t="shared" ca="1" si="13"/>
        <v>42</v>
      </c>
      <c r="J43" s="8">
        <f ca="1">IF(F43="","",COUNTIFS(C$2:C$201,C44,H$2:H$201,"&lt;="&amp;H43))</f>
        <v>11</v>
      </c>
      <c r="K43" s="9">
        <f t="shared" ca="1" si="17"/>
        <v>2.1990708773955703E-6</v>
      </c>
      <c r="L43" s="9">
        <f t="shared" ca="1" si="18"/>
        <v>0.60642557870839175</v>
      </c>
      <c r="M43" s="9">
        <f t="shared" ca="1" si="19"/>
        <v>2.2589120417251252E-3</v>
      </c>
      <c r="N43" s="8">
        <v>2</v>
      </c>
      <c r="O43" s="8">
        <v>13</v>
      </c>
      <c r="P43" s="10">
        <v>42</v>
      </c>
      <c r="Q43" s="8">
        <v>76</v>
      </c>
      <c r="R43" s="12" t="str">
        <f t="shared" si="14"/>
        <v>HERTAULT AGNES</v>
      </c>
      <c r="S43" s="8">
        <f t="shared" si="15"/>
        <v>4</v>
      </c>
      <c r="T43" s="9">
        <f t="shared" ca="1" si="16"/>
        <v>46194.623146990743</v>
      </c>
      <c r="U43" s="9">
        <f t="shared" ca="1" si="20"/>
        <v>46194.016721412037</v>
      </c>
      <c r="V43" s="10">
        <v>42</v>
      </c>
    </row>
    <row r="44" spans="1:22" ht="19.95" customHeight="1" x14ac:dyDescent="0.3">
      <c r="A44" s="10">
        <v>60</v>
      </c>
      <c r="B44" s="12" t="s">
        <v>82</v>
      </c>
      <c r="C44" s="8">
        <v>2</v>
      </c>
      <c r="D44" s="8" t="s">
        <v>60</v>
      </c>
      <c r="E44" s="9">
        <v>0.45486111111111099</v>
      </c>
      <c r="F44" s="9" t="s">
        <v>113</v>
      </c>
      <c r="G44" s="9">
        <f t="shared" ca="1" si="11"/>
        <v>46194.467408680553</v>
      </c>
      <c r="H44" s="9">
        <f t="shared" ca="1" si="12"/>
        <v>46194.012547569444</v>
      </c>
      <c r="I44" s="8">
        <f t="shared" ca="1" si="13"/>
        <v>43</v>
      </c>
      <c r="J44" s="8">
        <f ca="1">IF(F44="","",COUNTIFS(C$2:C$201,C44,H$2:H$201,"&lt;="&amp;H44))</f>
        <v>12</v>
      </c>
      <c r="K44" s="9">
        <f t="shared" ca="1" si="17"/>
        <v>5.7870347518473864E-6</v>
      </c>
      <c r="L44" s="9">
        <f t="shared" ca="1" si="18"/>
        <v>0.6064313657431436</v>
      </c>
      <c r="M44" s="9">
        <f t="shared" ca="1" si="19"/>
        <v>2.2646990764769726E-3</v>
      </c>
      <c r="N44" s="8">
        <v>3</v>
      </c>
      <c r="O44" s="8">
        <v>13</v>
      </c>
      <c r="P44" s="10">
        <v>43</v>
      </c>
      <c r="Q44" s="8">
        <v>12</v>
      </c>
      <c r="R44" s="12" t="str">
        <f t="shared" si="14"/>
        <v>MORBO CLEMENT</v>
      </c>
      <c r="S44" s="8" t="str">
        <f t="shared" si="15"/>
        <v>13/14</v>
      </c>
      <c r="T44" s="9">
        <f t="shared" ca="1" si="16"/>
        <v>46194.62331909722</v>
      </c>
      <c r="U44" s="9">
        <f t="shared" ca="1" si="20"/>
        <v>46194.016887731479</v>
      </c>
      <c r="V44" s="10">
        <v>43</v>
      </c>
    </row>
    <row r="45" spans="1:22" ht="19.95" customHeight="1" x14ac:dyDescent="0.3">
      <c r="A45" s="10">
        <v>46</v>
      </c>
      <c r="B45" s="12" t="s">
        <v>65</v>
      </c>
      <c r="C45" s="8">
        <v>3</v>
      </c>
      <c r="D45" s="8" t="s">
        <v>56</v>
      </c>
      <c r="E45" s="9">
        <v>0.44513888888888897</v>
      </c>
      <c r="F45" s="9" t="s">
        <v>113</v>
      </c>
      <c r="G45" s="9">
        <f t="shared" ca="1" si="11"/>
        <v>46194.457787847219</v>
      </c>
      <c r="H45" s="9">
        <f t="shared" ca="1" si="12"/>
        <v>46194.012648958327</v>
      </c>
      <c r="I45" s="8">
        <f t="shared" ca="1" si="13"/>
        <v>44</v>
      </c>
      <c r="J45" s="8">
        <f ca="1">IF(F45="","",COUNTIFS(C$2:C$201,#REF!,H$2:H$201,"&lt;="&amp;H45))</f>
        <v>0</v>
      </c>
      <c r="K45" s="9">
        <f t="shared" ca="1" si="17"/>
        <v>1.0138888319488615E-4</v>
      </c>
      <c r="L45" s="9">
        <f t="shared" ca="1" si="18"/>
        <v>0.60653275462633849</v>
      </c>
      <c r="M45" s="9">
        <f t="shared" ca="1" si="19"/>
        <v>2.3660879596718587E-3</v>
      </c>
      <c r="N45" s="8">
        <v>4</v>
      </c>
      <c r="O45" s="8">
        <v>13</v>
      </c>
      <c r="P45" s="10">
        <v>44</v>
      </c>
      <c r="Q45" s="8">
        <v>52</v>
      </c>
      <c r="R45" s="12" t="str">
        <f t="shared" si="14"/>
        <v>GUILLERMET CLEMENT</v>
      </c>
      <c r="S45" s="8">
        <f t="shared" si="15"/>
        <v>2</v>
      </c>
      <c r="T45" s="9">
        <f t="shared" ca="1" si="16"/>
        <v>46194.623527083335</v>
      </c>
      <c r="U45" s="9">
        <f t="shared" ca="1" si="20"/>
        <v>46194.016994328711</v>
      </c>
      <c r="V45" s="10">
        <v>44</v>
      </c>
    </row>
    <row r="46" spans="1:22" ht="19.95" customHeight="1" x14ac:dyDescent="0.3">
      <c r="A46" s="10">
        <v>23</v>
      </c>
      <c r="B46" s="12" t="s">
        <v>31</v>
      </c>
      <c r="C46" s="8" t="s">
        <v>37</v>
      </c>
      <c r="D46" s="8" t="s">
        <v>37</v>
      </c>
      <c r="E46" s="9">
        <v>0.43125000000000002</v>
      </c>
      <c r="F46" s="9" t="s">
        <v>113</v>
      </c>
      <c r="G46" s="9">
        <f t="shared" ca="1" si="11"/>
        <v>46194.443964351849</v>
      </c>
      <c r="H46" s="9">
        <f t="shared" ca="1" si="12"/>
        <v>46194.012714351848</v>
      </c>
      <c r="I46" s="8">
        <f t="shared" ca="1" si="13"/>
        <v>45</v>
      </c>
      <c r="J46" s="8">
        <f ca="1">IF(F46="","",COUNTIFS(C$2:C$201,C46,H$2:H$201,"&lt;="&amp;H46))</f>
        <v>4</v>
      </c>
      <c r="K46" s="9">
        <f t="shared" ca="1" si="17"/>
        <v>6.53935203445144E-5</v>
      </c>
      <c r="L46" s="9">
        <f t="shared" ca="1" si="18"/>
        <v>0.606598148146683</v>
      </c>
      <c r="M46" s="9">
        <f t="shared" ca="1" si="19"/>
        <v>2.4314814800163731E-3</v>
      </c>
      <c r="N46" s="8">
        <v>1</v>
      </c>
      <c r="O46" s="8">
        <v>14</v>
      </c>
      <c r="P46" s="10">
        <v>45</v>
      </c>
      <c r="Q46" s="8">
        <v>43</v>
      </c>
      <c r="R46" s="12" t="str">
        <f t="shared" si="14"/>
        <v>TRAMAGLIA CEDRIC</v>
      </c>
      <c r="S46" s="8">
        <f t="shared" si="15"/>
        <v>3</v>
      </c>
      <c r="T46" s="9">
        <f t="shared" ca="1" si="16"/>
        <v>46194.62394247685</v>
      </c>
      <c r="U46" s="9">
        <f t="shared" ca="1" si="20"/>
        <v>46194.017344328706</v>
      </c>
      <c r="V46" s="10">
        <v>45</v>
      </c>
    </row>
    <row r="47" spans="1:22" ht="19.95" customHeight="1" x14ac:dyDescent="0.3">
      <c r="A47" s="10">
        <v>52</v>
      </c>
      <c r="B47" s="12" t="s">
        <v>47</v>
      </c>
      <c r="C47" s="8">
        <v>2</v>
      </c>
      <c r="D47" s="8" t="s">
        <v>77</v>
      </c>
      <c r="E47" s="9">
        <v>0.44750000000000001</v>
      </c>
      <c r="F47" s="9" t="s">
        <v>113</v>
      </c>
      <c r="G47" s="9">
        <f t="shared" ca="1" si="11"/>
        <v>46194.460232407408</v>
      </c>
      <c r="H47" s="36">
        <f t="shared" ca="1" si="12"/>
        <v>46194.012732407406</v>
      </c>
      <c r="I47" s="8">
        <f t="shared" ca="1" si="13"/>
        <v>46</v>
      </c>
      <c r="J47" s="8">
        <f ca="1">IF(F47="","",COUNTIFS(C$2:C$201,C47,H$2:H$201,"&lt;="&amp;H47))</f>
        <v>13</v>
      </c>
      <c r="K47" s="9">
        <f t="shared" ca="1" si="17"/>
        <v>1.8055558030027896E-5</v>
      </c>
      <c r="L47" s="9">
        <f t="shared" ca="1" si="18"/>
        <v>0.60661620370471303</v>
      </c>
      <c r="M47" s="9">
        <f t="shared" ca="1" si="19"/>
        <v>2.449537038046401E-3</v>
      </c>
      <c r="N47" s="8">
        <v>2</v>
      </c>
      <c r="O47" s="8">
        <v>14</v>
      </c>
      <c r="P47" s="10">
        <v>46</v>
      </c>
      <c r="Q47" s="8">
        <v>37</v>
      </c>
      <c r="R47" s="12" t="str">
        <f t="shared" si="14"/>
        <v>BESCOND DIDIER</v>
      </c>
      <c r="S47" s="8">
        <f t="shared" si="15"/>
        <v>3</v>
      </c>
      <c r="T47" s="9">
        <f t="shared" ca="1" si="16"/>
        <v>46194.624009375002</v>
      </c>
      <c r="U47" s="9">
        <f t="shared" ca="1" si="20"/>
        <v>46194.0173931713</v>
      </c>
      <c r="V47" s="10">
        <v>46</v>
      </c>
    </row>
    <row r="48" spans="1:22" ht="19.95" customHeight="1" x14ac:dyDescent="0.3">
      <c r="A48" s="10">
        <v>7</v>
      </c>
      <c r="B48" s="12" t="s">
        <v>25</v>
      </c>
      <c r="C48" s="8">
        <v>4</v>
      </c>
      <c r="D48" s="8" t="s">
        <v>51</v>
      </c>
      <c r="E48" s="9">
        <v>0.420833333333333</v>
      </c>
      <c r="F48" s="9" t="s">
        <v>113</v>
      </c>
      <c r="G48" s="9">
        <f t="shared" ca="1" si="11"/>
        <v>46194.433645949073</v>
      </c>
      <c r="H48" s="9">
        <f t="shared" ca="1" si="12"/>
        <v>46194.012812615743</v>
      </c>
      <c r="I48" s="8">
        <f t="shared" ca="1" si="13"/>
        <v>47</v>
      </c>
      <c r="J48" s="8">
        <f ca="1">IF(F48="","",COUNTIFS(C$2:C$201,C46,H$2:H$201,"&lt;="&amp;H48))</f>
        <v>4</v>
      </c>
      <c r="K48" s="9">
        <f t="shared" ca="1" si="17"/>
        <v>8.0208337749354541E-5</v>
      </c>
      <c r="L48" s="9">
        <f t="shared" ca="1" si="18"/>
        <v>0.60669641204246239</v>
      </c>
      <c r="M48" s="9">
        <f t="shared" ca="1" si="19"/>
        <v>2.5297453757957555E-3</v>
      </c>
      <c r="N48" s="11">
        <v>3</v>
      </c>
      <c r="O48" s="11">
        <v>14</v>
      </c>
      <c r="P48" s="10">
        <v>47</v>
      </c>
      <c r="Q48" s="8">
        <v>7</v>
      </c>
      <c r="R48" s="12" t="str">
        <f t="shared" si="14"/>
        <v>ALESSANDRI DAMIEN</v>
      </c>
      <c r="S48" s="8">
        <f t="shared" si="15"/>
        <v>4</v>
      </c>
      <c r="T48" s="9">
        <f t="shared" ca="1" si="16"/>
        <v>46194.624058333335</v>
      </c>
      <c r="U48" s="9">
        <f t="shared" ca="1" si="20"/>
        <v>46194.017361921295</v>
      </c>
      <c r="V48" s="10">
        <v>47</v>
      </c>
    </row>
    <row r="49" spans="1:22" ht="19.95" customHeight="1" x14ac:dyDescent="0.3">
      <c r="A49" s="10">
        <v>27</v>
      </c>
      <c r="B49" s="12" t="s">
        <v>86</v>
      </c>
      <c r="C49" s="8" t="s">
        <v>37</v>
      </c>
      <c r="D49" s="8" t="s">
        <v>56</v>
      </c>
      <c r="E49" s="9">
        <v>0.43333333333333335</v>
      </c>
      <c r="F49" s="9" t="s">
        <v>113</v>
      </c>
      <c r="G49" s="9">
        <f t="shared" ca="1" si="11"/>
        <v>46194.446172800926</v>
      </c>
      <c r="H49" s="9">
        <f t="shared" ca="1" si="12"/>
        <v>46194.012839467592</v>
      </c>
      <c r="I49" s="8">
        <f t="shared" ca="1" si="13"/>
        <v>48</v>
      </c>
      <c r="J49" s="8">
        <f ca="1">IF(F49="","",COUNTIFS(C$2:C$201,C49,H$2:H$201,"&lt;="&amp;H49))</f>
        <v>5</v>
      </c>
      <c r="K49" s="9">
        <f t="shared" ca="1" si="17"/>
        <v>2.6851848815567791E-5</v>
      </c>
      <c r="L49" s="9">
        <f t="shared" ca="1" si="18"/>
        <v>0.60672326389127795</v>
      </c>
      <c r="M49" s="9">
        <f t="shared" ca="1" si="19"/>
        <v>2.5565972246113233E-3</v>
      </c>
      <c r="N49" s="8">
        <v>4</v>
      </c>
      <c r="O49" s="8">
        <v>14</v>
      </c>
      <c r="P49" s="10">
        <v>48</v>
      </c>
      <c r="Q49" s="8">
        <v>60</v>
      </c>
      <c r="R49" s="12" t="str">
        <f t="shared" si="14"/>
        <v>DOHEN CHRISTOPHE</v>
      </c>
      <c r="S49" s="8">
        <f t="shared" si="15"/>
        <v>2</v>
      </c>
      <c r="T49" s="9">
        <f t="shared" ca="1" si="16"/>
        <v>46194.624395601852</v>
      </c>
      <c r="U49" s="9">
        <f t="shared" ca="1" si="20"/>
        <v>46194.017672337963</v>
      </c>
      <c r="V49" s="10">
        <v>48</v>
      </c>
    </row>
    <row r="50" spans="1:22" ht="19.95" customHeight="1" x14ac:dyDescent="0.3">
      <c r="A50" s="10">
        <v>42</v>
      </c>
      <c r="B50" s="12" t="s">
        <v>61</v>
      </c>
      <c r="C50" s="8">
        <v>3</v>
      </c>
      <c r="D50" s="8" t="s">
        <v>62</v>
      </c>
      <c r="E50" s="9">
        <v>0.44305555555555498</v>
      </c>
      <c r="F50" s="9" t="s">
        <v>113</v>
      </c>
      <c r="G50" s="9">
        <f t="shared" ca="1" si="11"/>
        <v>46194.455942476852</v>
      </c>
      <c r="H50" s="9">
        <f t="shared" ca="1" si="12"/>
        <v>46194.012886921293</v>
      </c>
      <c r="I50" s="8">
        <f t="shared" ca="1" si="13"/>
        <v>49</v>
      </c>
      <c r="J50" s="8">
        <f ca="1">IF(F50="","",COUNTIFS(C$2:C$201,C53,H$2:H$201,"&lt;="&amp;H50))</f>
        <v>5</v>
      </c>
      <c r="K50" s="9">
        <f t="shared" ca="1" si="17"/>
        <v>4.7453700972255319E-5</v>
      </c>
      <c r="L50" s="9">
        <f t="shared" ca="1" si="18"/>
        <v>0.60677071759225021</v>
      </c>
      <c r="M50" s="9">
        <f t="shared" ca="1" si="19"/>
        <v>2.6040509255835786E-3</v>
      </c>
      <c r="N50" s="8">
        <v>1</v>
      </c>
      <c r="O50" s="8">
        <v>15</v>
      </c>
      <c r="P50" s="10">
        <v>49</v>
      </c>
      <c r="Q50" s="8">
        <v>27</v>
      </c>
      <c r="R50" s="12" t="str">
        <f t="shared" si="14"/>
        <v>CHAMOT BERNARD</v>
      </c>
      <c r="S50" s="8" t="str">
        <f t="shared" si="15"/>
        <v>NL</v>
      </c>
      <c r="T50" s="9">
        <f t="shared" ca="1" si="16"/>
        <v>46194.624925925928</v>
      </c>
      <c r="U50" s="9">
        <f t="shared" ca="1" si="20"/>
        <v>46194.018155208338</v>
      </c>
      <c r="V50" s="10">
        <v>49</v>
      </c>
    </row>
    <row r="51" spans="1:22" ht="19.95" customHeight="1" x14ac:dyDescent="0.3">
      <c r="A51" s="10">
        <v>12</v>
      </c>
      <c r="B51" s="12" t="s">
        <v>46</v>
      </c>
      <c r="C51" s="8" t="s">
        <v>44</v>
      </c>
      <c r="D51" s="8" t="s">
        <v>37</v>
      </c>
      <c r="E51" s="9">
        <v>0.42361111111111099</v>
      </c>
      <c r="F51" s="9" t="s">
        <v>113</v>
      </c>
      <c r="G51" s="9">
        <f t="shared" ca="1" si="11"/>
        <v>46194.436767129628</v>
      </c>
      <c r="H51" s="9">
        <f t="shared" ca="1" si="12"/>
        <v>46194.013156018518</v>
      </c>
      <c r="I51" s="8">
        <f t="shared" ca="1" si="13"/>
        <v>50</v>
      </c>
      <c r="J51" s="8">
        <f ca="1">IF(F51="","",COUNTIFS(C$2:C$201,C51,H$2:H$201,"&lt;="&amp;H51))</f>
        <v>3</v>
      </c>
      <c r="K51" s="9">
        <f t="shared" ca="1" si="17"/>
        <v>2.6909722510026768E-4</v>
      </c>
      <c r="L51" s="9">
        <f t="shared" ca="1" si="18"/>
        <v>0.60703981481735048</v>
      </c>
      <c r="M51" s="9">
        <f t="shared" ca="1" si="19"/>
        <v>2.8731481506838463E-3</v>
      </c>
      <c r="N51" s="8">
        <v>2</v>
      </c>
      <c r="O51" s="8">
        <v>15</v>
      </c>
      <c r="P51" s="10">
        <v>50</v>
      </c>
      <c r="Q51" s="8">
        <v>31</v>
      </c>
      <c r="R51" s="12" t="str">
        <f t="shared" si="14"/>
        <v>CORMONS PHILIPPE</v>
      </c>
      <c r="S51" s="8" t="str">
        <f t="shared" si="15"/>
        <v>NL</v>
      </c>
      <c r="T51" s="9">
        <f t="shared" ca="1" si="16"/>
        <v>46194.625337962963</v>
      </c>
      <c r="U51" s="9">
        <f t="shared" ca="1" si="20"/>
        <v>46194.018298148148</v>
      </c>
      <c r="V51" s="10">
        <v>50</v>
      </c>
    </row>
    <row r="52" spans="1:22" ht="19.95" customHeight="1" x14ac:dyDescent="0.3">
      <c r="A52" s="10">
        <v>77</v>
      </c>
      <c r="B52" s="12" t="s">
        <v>58</v>
      </c>
      <c r="C52" s="8">
        <v>3</v>
      </c>
      <c r="D52" s="8" t="s">
        <v>51</v>
      </c>
      <c r="E52" s="9">
        <v>0.46666666666666701</v>
      </c>
      <c r="F52" s="9" t="s">
        <v>113</v>
      </c>
      <c r="G52" s="9">
        <f t="shared" ca="1" si="11"/>
        <v>46194.479825000002</v>
      </c>
      <c r="H52" s="9">
        <f t="shared" ca="1" si="12"/>
        <v>46194.013158333335</v>
      </c>
      <c r="I52" s="8">
        <f t="shared" ca="1" si="13"/>
        <v>51</v>
      </c>
      <c r="J52" s="8">
        <f ca="1">IF(F52="","",COUNTIFS(C$2:C$201,C52,H$2:H$201,"&lt;="&amp;H52))</f>
        <v>15</v>
      </c>
      <c r="K52" s="9">
        <f t="shared" ca="1" si="17"/>
        <v>2.3148168111220002E-6</v>
      </c>
      <c r="L52" s="9">
        <f t="shared" ca="1" si="18"/>
        <v>0.6070421296341616</v>
      </c>
      <c r="M52" s="9">
        <f t="shared" ca="1" si="19"/>
        <v>2.8754629674949683E-3</v>
      </c>
      <c r="N52" s="8">
        <v>3</v>
      </c>
      <c r="O52" s="8">
        <v>15</v>
      </c>
      <c r="P52" s="10">
        <v>51</v>
      </c>
      <c r="Q52" s="8">
        <v>15</v>
      </c>
      <c r="R52" s="12" t="str">
        <f t="shared" si="14"/>
        <v>ROUSSEL EMERY</v>
      </c>
      <c r="S52" s="8" t="str">
        <f t="shared" si="15"/>
        <v>13/14</v>
      </c>
      <c r="T52" s="9">
        <f t="shared" ca="1" si="16"/>
        <v>46194.626692245372</v>
      </c>
      <c r="U52" s="9">
        <f t="shared" ca="1" si="20"/>
        <v>46194.019650115741</v>
      </c>
      <c r="V52" s="10">
        <v>51</v>
      </c>
    </row>
    <row r="53" spans="1:22" ht="19.95" customHeight="1" x14ac:dyDescent="0.3">
      <c r="A53" s="10">
        <v>31</v>
      </c>
      <c r="B53" s="19" t="s">
        <v>28</v>
      </c>
      <c r="C53" s="20" t="s">
        <v>37</v>
      </c>
      <c r="D53" s="20" t="s">
        <v>95</v>
      </c>
      <c r="E53" s="9">
        <v>0.436805555555556</v>
      </c>
      <c r="F53" s="9" t="s">
        <v>113</v>
      </c>
      <c r="G53" s="9">
        <f t="shared" ca="1" si="11"/>
        <v>46194.450024537036</v>
      </c>
      <c r="H53" s="9">
        <f t="shared" ca="1" si="12"/>
        <v>46194.013218981483</v>
      </c>
      <c r="I53" s="8">
        <f t="shared" ca="1" si="13"/>
        <v>52</v>
      </c>
      <c r="J53" s="8">
        <f ca="1">IF(F53="","",COUNTIFS(C$2:C$201,C53,H$2:H$201,"&lt;="&amp;H53))</f>
        <v>6</v>
      </c>
      <c r="K53" s="9">
        <f t="shared" ca="1" si="17"/>
        <v>6.0648148064501584E-5</v>
      </c>
      <c r="L53" s="9">
        <f t="shared" ca="1" si="18"/>
        <v>0.6071027777822261</v>
      </c>
      <c r="M53" s="9">
        <f t="shared" ca="1" si="19"/>
        <v>2.9361111155594699E-3</v>
      </c>
      <c r="N53" s="8">
        <v>4</v>
      </c>
      <c r="O53" s="8">
        <v>15</v>
      </c>
      <c r="P53" s="10">
        <v>52</v>
      </c>
      <c r="Q53" s="8">
        <v>14</v>
      </c>
      <c r="R53" s="12" t="str">
        <f t="shared" si="14"/>
        <v>CHAMBAZ VALENTIN</v>
      </c>
      <c r="S53" s="8" t="str">
        <f t="shared" si="15"/>
        <v>13/14</v>
      </c>
      <c r="T53" s="9">
        <f t="shared" ca="1" si="16"/>
        <v>46194.627818287037</v>
      </c>
      <c r="U53" s="9">
        <f t="shared" ca="1" si="20"/>
        <v>46194.020715509258</v>
      </c>
      <c r="V53" s="10">
        <v>52</v>
      </c>
    </row>
    <row r="54" spans="1:22" ht="19.95" customHeight="1" x14ac:dyDescent="0.3">
      <c r="A54" s="10">
        <v>83</v>
      </c>
      <c r="B54" s="12" t="s">
        <v>26</v>
      </c>
      <c r="C54" s="8">
        <v>4</v>
      </c>
      <c r="D54" s="8" t="s">
        <v>51</v>
      </c>
      <c r="E54" s="9">
        <v>0.47083333333333299</v>
      </c>
      <c r="F54" s="9" t="s">
        <v>113</v>
      </c>
      <c r="G54" s="9">
        <f t="shared" ca="1" si="11"/>
        <v>46194.484172337965</v>
      </c>
      <c r="H54" s="9">
        <f t="shared" ca="1" si="12"/>
        <v>46194.013339004632</v>
      </c>
      <c r="I54" s="8">
        <f t="shared" ca="1" si="13"/>
        <v>53</v>
      </c>
      <c r="J54" s="8">
        <f ca="1">IF(F54="","",COUNTIFS(C$2:C$201,C53,H$2:H$201,"&lt;="&amp;H54))</f>
        <v>6</v>
      </c>
      <c r="K54" s="9">
        <f t="shared" ca="1" si="17"/>
        <v>1.2002314906567335E-4</v>
      </c>
      <c r="L54" s="9">
        <f t="shared" ca="1" si="18"/>
        <v>0.60722280093129177</v>
      </c>
      <c r="M54" s="9">
        <f t="shared" ca="1" si="19"/>
        <v>3.0561342646251433E-3</v>
      </c>
      <c r="N54" s="8">
        <v>1</v>
      </c>
      <c r="O54" s="8">
        <v>16</v>
      </c>
      <c r="P54" s="10">
        <v>53</v>
      </c>
      <c r="Q54" s="8">
        <v>83</v>
      </c>
      <c r="R54" s="12" t="str">
        <f t="shared" si="14"/>
        <v>HURSON NICOLAS</v>
      </c>
      <c r="S54" s="8">
        <f t="shared" si="15"/>
        <v>4</v>
      </c>
      <c r="T54" s="9">
        <f t="shared" ca="1" si="16"/>
        <v>46194.628460532411</v>
      </c>
      <c r="U54" s="9">
        <f t="shared" ca="1" si="20"/>
        <v>46194.021237731482</v>
      </c>
      <c r="V54" s="10">
        <v>53</v>
      </c>
    </row>
    <row r="55" spans="1:22" ht="19.95" customHeight="1" x14ac:dyDescent="0.3">
      <c r="A55" s="10">
        <v>24</v>
      </c>
      <c r="B55" s="12" t="s">
        <v>29</v>
      </c>
      <c r="C55" s="8" t="s">
        <v>37</v>
      </c>
      <c r="D55" s="8" t="s">
        <v>56</v>
      </c>
      <c r="E55" s="9">
        <v>0.43194444444444402</v>
      </c>
      <c r="F55" s="9" t="s">
        <v>113</v>
      </c>
      <c r="G55" s="9">
        <f t="shared" ca="1" si="11"/>
        <v>46194.445873842589</v>
      </c>
      <c r="H55" s="9">
        <f t="shared" ca="1" si="12"/>
        <v>46194.013929398148</v>
      </c>
      <c r="I55" s="8">
        <f t="shared" ca="1" si="13"/>
        <v>54</v>
      </c>
      <c r="J55" s="8">
        <f ca="1">IF(F55="","",COUNTIFS(C$2:C$201,C55,H$2:H$201,"&lt;="&amp;H55))</f>
        <v>7</v>
      </c>
      <c r="K55" s="9">
        <f t="shared" ca="1" si="17"/>
        <v>5.9039351617684588E-4</v>
      </c>
      <c r="L55" s="9">
        <f t="shared" ca="1" si="18"/>
        <v>0.60781319444746862</v>
      </c>
      <c r="M55" s="9">
        <f t="shared" ca="1" si="19"/>
        <v>3.6465277808019891E-3</v>
      </c>
      <c r="N55" s="8">
        <v>2</v>
      </c>
      <c r="O55" s="8">
        <v>16</v>
      </c>
      <c r="P55" s="10">
        <v>54</v>
      </c>
      <c r="Q55" s="8">
        <v>24</v>
      </c>
      <c r="R55" s="12" t="str">
        <f t="shared" si="14"/>
        <v>BARRETO FRANCIS</v>
      </c>
      <c r="S55" s="8" t="str">
        <f t="shared" si="15"/>
        <v>NL</v>
      </c>
      <c r="T55" s="9">
        <f t="shared" ca="1" si="16"/>
        <v>46194.628920138886</v>
      </c>
      <c r="U55" s="9">
        <f t="shared" ca="1" si="20"/>
        <v>46194.021106944441</v>
      </c>
      <c r="V55" s="10">
        <v>54</v>
      </c>
    </row>
    <row r="56" spans="1:22" ht="19.95" customHeight="1" x14ac:dyDescent="0.3">
      <c r="A56" s="10">
        <v>15</v>
      </c>
      <c r="B56" s="12" t="s">
        <v>48</v>
      </c>
      <c r="C56" s="8" t="s">
        <v>44</v>
      </c>
      <c r="D56" s="8" t="s">
        <v>78</v>
      </c>
      <c r="E56" s="9">
        <v>0.42569444444444399</v>
      </c>
      <c r="F56" s="9" t="s">
        <v>113</v>
      </c>
      <c r="G56" s="9">
        <f t="shared" ca="1" si="11"/>
        <v>46194.439710416664</v>
      </c>
      <c r="H56" s="9">
        <f t="shared" ca="1" si="12"/>
        <v>46194.014015972221</v>
      </c>
      <c r="I56" s="8">
        <f t="shared" ca="1" si="13"/>
        <v>55</v>
      </c>
      <c r="J56" s="8">
        <f ca="1">IF(F56="","",COUNTIFS(C$2:C$201,C56,H$2:H$201,"&lt;="&amp;H56))</f>
        <v>4</v>
      </c>
      <c r="K56" s="9">
        <f t="shared" ca="1" si="17"/>
        <v>8.6574073066003621E-5</v>
      </c>
      <c r="L56" s="9">
        <f t="shared" ca="1" si="18"/>
        <v>0.60789976852053462</v>
      </c>
      <c r="M56" s="9">
        <f t="shared" ca="1" si="19"/>
        <v>3.7331018538679928E-3</v>
      </c>
      <c r="N56" s="8">
        <v>3</v>
      </c>
      <c r="O56" s="8">
        <v>16</v>
      </c>
      <c r="P56" s="10">
        <v>55</v>
      </c>
      <c r="Q56" s="8">
        <v>11</v>
      </c>
      <c r="R56" s="12" t="str">
        <f t="shared" si="14"/>
        <v>CHAMBAZ ENZO</v>
      </c>
      <c r="S56" s="8" t="str">
        <f t="shared" si="15"/>
        <v>13/14</v>
      </c>
      <c r="T56" s="9">
        <f t="shared" ca="1" si="16"/>
        <v>46194.631056481485</v>
      </c>
      <c r="U56" s="9">
        <f t="shared" ca="1" si="20"/>
        <v>46194.023156712967</v>
      </c>
      <c r="V56" s="10">
        <v>55</v>
      </c>
    </row>
    <row r="57" spans="1:22" ht="19.95" customHeight="1" x14ac:dyDescent="0.3">
      <c r="A57" s="10">
        <v>14</v>
      </c>
      <c r="B57" s="12" t="s">
        <v>27</v>
      </c>
      <c r="C57" s="8" t="s">
        <v>44</v>
      </c>
      <c r="D57" s="8" t="s">
        <v>95</v>
      </c>
      <c r="E57" s="9">
        <v>0.42499999999999999</v>
      </c>
      <c r="F57" s="9" t="s">
        <v>113</v>
      </c>
      <c r="G57" s="9">
        <f t="shared" ca="1" si="11"/>
        <v>46194.440346643518</v>
      </c>
      <c r="H57" s="9">
        <f t="shared" ca="1" si="12"/>
        <v>46194.015346643515</v>
      </c>
      <c r="I57" s="8">
        <f t="shared" ca="1" si="13"/>
        <v>56</v>
      </c>
      <c r="J57" s="8">
        <f ca="1">IF(F57="","",COUNTIFS(C$2:C$201,C57,H$2:H$201,"&lt;="&amp;H57))</f>
        <v>5</v>
      </c>
      <c r="K57" s="9">
        <f t="shared" ca="1" si="17"/>
        <v>1.330671293544583E-3</v>
      </c>
      <c r="L57" s="9">
        <f t="shared" ca="1" si="18"/>
        <v>0.60923043981407921</v>
      </c>
      <c r="M57" s="9">
        <f t="shared" ca="1" si="19"/>
        <v>5.0637731474125758E-3</v>
      </c>
      <c r="N57" s="8">
        <v>4</v>
      </c>
      <c r="O57" s="8">
        <v>16</v>
      </c>
      <c r="P57" s="6">
        <v>56</v>
      </c>
      <c r="Q57" s="37"/>
      <c r="R57" s="38">
        <f t="shared" si="14"/>
        <v>0</v>
      </c>
      <c r="S57" s="37" t="str">
        <f t="shared" si="15"/>
        <v/>
      </c>
      <c r="T57" s="39" t="str">
        <f t="shared" ca="1" si="16"/>
        <v/>
      </c>
      <c r="U57" s="39" t="e">
        <f t="shared" ca="1" si="20"/>
        <v>#VALUE!</v>
      </c>
      <c r="V57" s="6">
        <v>56</v>
      </c>
    </row>
    <row r="58" spans="1:22" ht="19.95" customHeight="1" x14ac:dyDescent="0.3">
      <c r="A58" s="10">
        <v>11</v>
      </c>
      <c r="B58" s="12" t="s">
        <v>43</v>
      </c>
      <c r="C58" s="8" t="s">
        <v>44</v>
      </c>
      <c r="D58" s="8" t="s">
        <v>37</v>
      </c>
      <c r="E58" s="9">
        <v>0.422916666666667</v>
      </c>
      <c r="F58" s="9" t="s">
        <v>113</v>
      </c>
      <c r="G58" s="9">
        <f t="shared" ca="1" si="11"/>
        <v>46194.439621180558</v>
      </c>
      <c r="H58" s="9">
        <f t="shared" ca="1" si="12"/>
        <v>46194.016704513888</v>
      </c>
      <c r="I58" s="8">
        <f t="shared" ca="1" si="13"/>
        <v>57</v>
      </c>
      <c r="J58" s="8">
        <f ca="1">IF(F58="","",COUNTIFS(C$2:C$201,C58,H$2:H$201,"&lt;="&amp;H58))</f>
        <v>6</v>
      </c>
      <c r="K58" s="9">
        <f t="shared" ca="1" si="17"/>
        <v>1.3578703728853725E-3</v>
      </c>
      <c r="L58" s="9">
        <f t="shared" ca="1" si="18"/>
        <v>0.61058831018696458</v>
      </c>
      <c r="M58" s="9">
        <f t="shared" ca="1" si="19"/>
        <v>6.4216435202979483E-3</v>
      </c>
      <c r="N58" s="8">
        <v>1</v>
      </c>
      <c r="O58" s="8">
        <v>17</v>
      </c>
      <c r="P58" s="6">
        <v>57</v>
      </c>
      <c r="Q58" s="8"/>
      <c r="R58" s="12">
        <f t="shared" si="14"/>
        <v>0</v>
      </c>
      <c r="S58" s="8" t="str">
        <f t="shared" si="15"/>
        <v/>
      </c>
      <c r="T58" s="9" t="str">
        <f t="shared" ca="1" si="16"/>
        <v/>
      </c>
      <c r="U58" s="9" t="e">
        <f t="shared" ca="1" si="20"/>
        <v>#VALUE!</v>
      </c>
      <c r="V58" s="6">
        <v>57</v>
      </c>
    </row>
    <row r="59" spans="1:22" ht="19.95" customHeight="1" x14ac:dyDescent="0.3">
      <c r="A59" s="6">
        <v>6</v>
      </c>
      <c r="B59" s="3" t="s">
        <v>54</v>
      </c>
      <c r="C59" s="2">
        <v>3</v>
      </c>
      <c r="D59" s="2" t="s">
        <v>51</v>
      </c>
      <c r="E59" s="9">
        <v>0.42013888888888901</v>
      </c>
      <c r="F59" s="9"/>
      <c r="G59" s="9" t="str">
        <f t="shared" ca="1" si="11"/>
        <v/>
      </c>
      <c r="H59" s="9" t="str">
        <f t="shared" ca="1" si="12"/>
        <v/>
      </c>
      <c r="I59" s="8" t="str">
        <f t="shared" ca="1" si="13"/>
        <v/>
      </c>
      <c r="J59" s="8" t="str">
        <f>IF(F59="","",COUNTIFS(C$2:C$201,C134,H$2:H$201,"&lt;="&amp;H59))</f>
        <v/>
      </c>
      <c r="K59" s="9" t="e">
        <f t="shared" ca="1" si="17"/>
        <v>#VALUE!</v>
      </c>
      <c r="L59" s="9" t="e">
        <f t="shared" ca="1" si="18"/>
        <v>#VALUE!</v>
      </c>
      <c r="M59" s="9" t="e">
        <f ca="1">M59+K59</f>
        <v>#VALUE!</v>
      </c>
      <c r="N59" s="11"/>
      <c r="O59" s="11"/>
      <c r="Q59" s="8"/>
      <c r="R59" s="12">
        <f t="shared" si="14"/>
        <v>0</v>
      </c>
      <c r="S59" s="8" t="str">
        <f t="shared" si="15"/>
        <v/>
      </c>
      <c r="T59" s="9" t="str">
        <f t="shared" ca="1" si="16"/>
        <v/>
      </c>
      <c r="U59" s="9" t="e">
        <f t="shared" ca="1" si="20"/>
        <v>#VALUE!</v>
      </c>
    </row>
    <row r="60" spans="1:22" ht="19.95" customHeight="1" x14ac:dyDescent="0.3">
      <c r="A60" s="10">
        <v>8</v>
      </c>
      <c r="B60" s="12"/>
      <c r="C60" s="8"/>
      <c r="D60" s="8"/>
      <c r="E60" s="9">
        <v>0.421527777777778</v>
      </c>
      <c r="F60" s="9"/>
      <c r="G60" s="9" t="str">
        <f t="shared" ca="1" si="11"/>
        <v/>
      </c>
      <c r="H60" s="9" t="str">
        <f t="shared" ca="1" si="12"/>
        <v/>
      </c>
      <c r="I60" s="8" t="str">
        <f t="shared" ca="1" si="13"/>
        <v/>
      </c>
      <c r="J60" s="8" t="str">
        <f>IF(F60="","",COUNTIFS(C$2:C$201,C58,H$2:H$201,"&lt;="&amp;H60))</f>
        <v/>
      </c>
      <c r="K60" s="9" t="e">
        <f t="shared" ca="1" si="17"/>
        <v>#VALUE!</v>
      </c>
      <c r="L60" s="9" t="e">
        <f t="shared" ca="1" si="18"/>
        <v>#VALUE!</v>
      </c>
      <c r="M60" s="9" t="e">
        <f t="shared" ref="M60:M100" ca="1" si="21">M59+K60</f>
        <v>#VALUE!</v>
      </c>
      <c r="N60" s="11"/>
      <c r="O60" s="11"/>
      <c r="Q60" s="8"/>
      <c r="R60" s="12">
        <f t="shared" si="14"/>
        <v>0</v>
      </c>
      <c r="S60" s="8" t="str">
        <f t="shared" si="15"/>
        <v/>
      </c>
      <c r="T60" s="9" t="str">
        <f t="shared" ca="1" si="16"/>
        <v/>
      </c>
      <c r="U60" s="9" t="e">
        <f t="shared" ca="1" si="20"/>
        <v>#VALUE!</v>
      </c>
    </row>
    <row r="61" spans="1:22" ht="19.95" customHeight="1" x14ac:dyDescent="0.3">
      <c r="A61" s="10">
        <v>9</v>
      </c>
      <c r="B61" s="12"/>
      <c r="C61" s="8"/>
      <c r="D61" s="8"/>
      <c r="E61" s="9">
        <v>0.422222222222222</v>
      </c>
      <c r="F61" s="9"/>
      <c r="G61" s="9" t="str">
        <f t="shared" ca="1" si="11"/>
        <v/>
      </c>
      <c r="H61" s="9" t="str">
        <f t="shared" ca="1" si="12"/>
        <v/>
      </c>
      <c r="I61" s="8" t="str">
        <f t="shared" ca="1" si="13"/>
        <v/>
      </c>
      <c r="J61" s="8" t="str">
        <f>IF(F61="","",COUNTIFS(C$2:C$201,C61,H$2:H$201,"&lt;="&amp;H61))</f>
        <v/>
      </c>
      <c r="K61" s="9" t="e">
        <f t="shared" ca="1" si="17"/>
        <v>#VALUE!</v>
      </c>
      <c r="L61" s="9" t="e">
        <f t="shared" ca="1" si="18"/>
        <v>#VALUE!</v>
      </c>
      <c r="M61" s="9" t="e">
        <f t="shared" ca="1" si="21"/>
        <v>#VALUE!</v>
      </c>
      <c r="N61" s="8"/>
      <c r="O61" s="11"/>
      <c r="Q61" s="8"/>
      <c r="R61" s="12">
        <f t="shared" si="14"/>
        <v>0</v>
      </c>
      <c r="S61" s="8" t="str">
        <f t="shared" si="15"/>
        <v/>
      </c>
      <c r="T61" s="9" t="str">
        <f t="shared" ca="1" si="16"/>
        <v/>
      </c>
      <c r="U61" s="9" t="e">
        <f t="shared" ca="1" si="20"/>
        <v>#VALUE!</v>
      </c>
    </row>
    <row r="62" spans="1:22" ht="19.95" customHeight="1" x14ac:dyDescent="0.3">
      <c r="A62" s="10">
        <v>22</v>
      </c>
      <c r="B62" s="12"/>
      <c r="C62" s="8"/>
      <c r="D62" s="8"/>
      <c r="E62" s="9">
        <v>0.43055555555555503</v>
      </c>
      <c r="F62" s="9"/>
      <c r="G62" s="9" t="str">
        <f t="shared" ca="1" si="11"/>
        <v/>
      </c>
      <c r="H62" s="9" t="str">
        <f t="shared" ca="1" si="12"/>
        <v/>
      </c>
      <c r="I62" s="8" t="str">
        <f t="shared" ca="1" si="13"/>
        <v/>
      </c>
      <c r="J62" s="8" t="str">
        <f>IF(F62="","",COUNTIFS(C$2:C$201,C62,H$2:H$201,"&lt;="&amp;H62))</f>
        <v/>
      </c>
      <c r="K62" s="9" t="e">
        <f t="shared" ca="1" si="17"/>
        <v>#VALUE!</v>
      </c>
      <c r="L62" s="9" t="e">
        <f t="shared" ca="1" si="18"/>
        <v>#VALUE!</v>
      </c>
      <c r="M62" s="9" t="e">
        <f t="shared" ca="1" si="21"/>
        <v>#VALUE!</v>
      </c>
      <c r="N62" s="8"/>
      <c r="O62" s="11"/>
      <c r="Q62" s="8"/>
      <c r="R62" s="12">
        <f t="shared" si="14"/>
        <v>0</v>
      </c>
      <c r="S62" s="8" t="str">
        <f t="shared" si="15"/>
        <v/>
      </c>
      <c r="T62" s="9" t="str">
        <f t="shared" ca="1" si="16"/>
        <v/>
      </c>
      <c r="U62" s="9" t="e">
        <f t="shared" ca="1" si="20"/>
        <v>#VALUE!</v>
      </c>
    </row>
    <row r="63" spans="1:22" ht="19.95" customHeight="1" x14ac:dyDescent="0.3">
      <c r="A63" s="23">
        <v>25</v>
      </c>
      <c r="B63" s="27" t="s">
        <v>45</v>
      </c>
      <c r="C63" s="28" t="s">
        <v>37</v>
      </c>
      <c r="D63" s="28" t="s">
        <v>37</v>
      </c>
      <c r="E63" s="26">
        <v>0.43263888888888902</v>
      </c>
      <c r="F63" s="9"/>
      <c r="G63" s="9" t="str">
        <f t="shared" ca="1" si="11"/>
        <v/>
      </c>
      <c r="H63" s="9" t="str">
        <f t="shared" ca="1" si="12"/>
        <v/>
      </c>
      <c r="I63" s="8" t="str">
        <f t="shared" ca="1" si="13"/>
        <v/>
      </c>
      <c r="J63" s="8" t="str">
        <f>IF(F63="","",COUNTIFS(C$2:C$201,C63,H$2:H$201,"&lt;="&amp;H63))</f>
        <v/>
      </c>
      <c r="K63" s="9" t="e">
        <f t="shared" ca="1" si="17"/>
        <v>#VALUE!</v>
      </c>
      <c r="L63" s="9" t="e">
        <f t="shared" ca="1" si="18"/>
        <v>#VALUE!</v>
      </c>
      <c r="M63" s="9" t="e">
        <f t="shared" ca="1" si="21"/>
        <v>#VALUE!</v>
      </c>
      <c r="N63" s="8"/>
      <c r="O63" s="11"/>
      <c r="Q63" s="8"/>
      <c r="R63" s="12">
        <f t="shared" si="14"/>
        <v>0</v>
      </c>
      <c r="S63" s="8" t="str">
        <f t="shared" si="15"/>
        <v/>
      </c>
      <c r="T63" s="9" t="str">
        <f t="shared" ca="1" si="16"/>
        <v/>
      </c>
      <c r="U63" s="9" t="e">
        <f t="shared" ca="1" si="20"/>
        <v>#VALUE!</v>
      </c>
    </row>
    <row r="64" spans="1:22" ht="19.95" customHeight="1" x14ac:dyDescent="0.3">
      <c r="A64" s="23">
        <v>26</v>
      </c>
      <c r="B64" s="27" t="s">
        <v>85</v>
      </c>
      <c r="C64" s="28" t="s">
        <v>37</v>
      </c>
      <c r="D64" s="28" t="s">
        <v>37</v>
      </c>
      <c r="E64" s="26">
        <v>0.43333333333333302</v>
      </c>
      <c r="F64" s="9"/>
      <c r="G64" s="9" t="str">
        <f t="shared" ca="1" si="11"/>
        <v/>
      </c>
      <c r="H64" s="9" t="str">
        <f t="shared" ca="1" si="12"/>
        <v/>
      </c>
      <c r="I64" s="8" t="str">
        <f t="shared" ca="1" si="13"/>
        <v/>
      </c>
      <c r="J64" s="8" t="str">
        <f>IF(F64="","",COUNTIFS(C$2:C$201,C64,H$2:H$201,"&lt;="&amp;H64))</f>
        <v/>
      </c>
      <c r="K64" s="9" t="e">
        <f t="shared" ca="1" si="17"/>
        <v>#VALUE!</v>
      </c>
      <c r="L64" s="9" t="e">
        <f t="shared" ca="1" si="18"/>
        <v>#VALUE!</v>
      </c>
      <c r="M64" s="9" t="e">
        <f t="shared" ca="1" si="21"/>
        <v>#VALUE!</v>
      </c>
      <c r="N64" s="8"/>
      <c r="O64" s="11"/>
      <c r="Q64" s="8"/>
      <c r="R64" s="12">
        <f t="shared" si="14"/>
        <v>0</v>
      </c>
      <c r="S64" s="8" t="str">
        <f t="shared" si="15"/>
        <v/>
      </c>
      <c r="T64" s="9" t="str">
        <f t="shared" ca="1" si="16"/>
        <v/>
      </c>
      <c r="U64" s="9" t="e">
        <f t="shared" ca="1" si="20"/>
        <v>#VALUE!</v>
      </c>
    </row>
    <row r="65" spans="1:21" ht="19.95" customHeight="1" x14ac:dyDescent="0.3">
      <c r="A65" s="23">
        <v>29</v>
      </c>
      <c r="B65" s="32" t="s">
        <v>88</v>
      </c>
      <c r="C65" s="33" t="s">
        <v>37</v>
      </c>
      <c r="D65" s="33" t="s">
        <v>37</v>
      </c>
      <c r="E65" s="26">
        <v>0.43541666666666701</v>
      </c>
      <c r="F65" s="9"/>
      <c r="G65" s="9" t="str">
        <f t="shared" ca="1" si="11"/>
        <v/>
      </c>
      <c r="H65" s="9" t="str">
        <f t="shared" ca="1" si="12"/>
        <v/>
      </c>
      <c r="I65" s="8" t="str">
        <f t="shared" ca="1" si="13"/>
        <v/>
      </c>
      <c r="J65" s="8" t="str">
        <f>IF(F65="","",COUNTIFS(C$2:C$201,C65,H$2:H$201,"&lt;="&amp;H65))</f>
        <v/>
      </c>
      <c r="K65" s="9" t="e">
        <f t="shared" ca="1" si="17"/>
        <v>#VALUE!</v>
      </c>
      <c r="L65" s="9" t="e">
        <f t="shared" ca="1" si="18"/>
        <v>#VALUE!</v>
      </c>
      <c r="M65" s="9" t="e">
        <f t="shared" ca="1" si="21"/>
        <v>#VALUE!</v>
      </c>
      <c r="N65" s="8"/>
      <c r="O65" s="11"/>
      <c r="Q65" s="8"/>
      <c r="R65" s="12">
        <f t="shared" si="14"/>
        <v>0</v>
      </c>
      <c r="S65" s="8" t="str">
        <f t="shared" si="15"/>
        <v/>
      </c>
      <c r="T65" s="9" t="str">
        <f t="shared" ca="1" si="16"/>
        <v/>
      </c>
      <c r="U65" s="9" t="e">
        <f t="shared" ca="1" si="20"/>
        <v>#VALUE!</v>
      </c>
    </row>
    <row r="66" spans="1:21" ht="19.95" customHeight="1" x14ac:dyDescent="0.3">
      <c r="A66" s="10">
        <v>33</v>
      </c>
      <c r="B66" s="12"/>
      <c r="C66" s="8"/>
      <c r="D66" s="8"/>
      <c r="E66" s="9">
        <v>0.438194444444444</v>
      </c>
      <c r="F66" s="9"/>
      <c r="G66" s="9" t="str">
        <f t="shared" ref="G66:G97" ca="1" si="22">IF(F66&lt;&gt;"",IF(G66="",NOW(),G66),"")</f>
        <v/>
      </c>
      <c r="H66" s="9" t="str">
        <f t="shared" ref="H66:H97" ca="1" si="23">IF(G66="","",G66-E66)</f>
        <v/>
      </c>
      <c r="I66" s="8" t="str">
        <f t="shared" ref="I66:I97" ca="1" si="24">IF(H66="","",RANK(H66,H$2:H$171,1))</f>
        <v/>
      </c>
      <c r="J66" s="8" t="str">
        <f>IF(F66="","",COUNTIFS(C$2:C$201,C69,H$2:H$201,"&lt;="&amp;H66))</f>
        <v/>
      </c>
      <c r="K66" s="9" t="e">
        <f t="shared" ca="1" si="17"/>
        <v>#VALUE!</v>
      </c>
      <c r="L66" s="9" t="e">
        <f t="shared" ca="1" si="18"/>
        <v>#VALUE!</v>
      </c>
      <c r="M66" s="9" t="e">
        <f t="shared" ca="1" si="21"/>
        <v>#VALUE!</v>
      </c>
      <c r="N66" s="8"/>
      <c r="O66" s="11"/>
      <c r="Q66" s="8"/>
      <c r="R66" s="12">
        <f t="shared" ref="R66:R97" si="25">_xlfn.XLOOKUP(Q66,A:A,B:B,"")</f>
        <v>0</v>
      </c>
      <c r="S66" s="8" t="str">
        <f t="shared" ref="S66:S97" si="26">_xlfn.XLOOKUP(R66,B:B,C:C,"")</f>
        <v/>
      </c>
      <c r="T66" s="9" t="str">
        <f t="shared" ref="T66:T100" ca="1" si="27">IF(Q66&lt;&gt;"",IF(T66="",NOW(),T66),"")</f>
        <v/>
      </c>
      <c r="U66" s="9" t="e">
        <f t="shared" ca="1" si="20"/>
        <v>#VALUE!</v>
      </c>
    </row>
    <row r="67" spans="1:21" ht="19.95" customHeight="1" x14ac:dyDescent="0.3">
      <c r="A67" s="10">
        <v>34</v>
      </c>
      <c r="B67" s="12"/>
      <c r="C67" s="8"/>
      <c r="D67" s="8"/>
      <c r="E67" s="9">
        <v>0.43888888888888899</v>
      </c>
      <c r="F67" s="9"/>
      <c r="G67" s="9" t="str">
        <f t="shared" ca="1" si="22"/>
        <v/>
      </c>
      <c r="H67" s="9" t="str">
        <f t="shared" ca="1" si="23"/>
        <v/>
      </c>
      <c r="I67" s="8" t="str">
        <f t="shared" ca="1" si="24"/>
        <v/>
      </c>
      <c r="J67" s="8" t="str">
        <f>IF(F67="","",COUNTIFS(C$2:C$201,C70,H$2:H$201,"&lt;="&amp;H67))</f>
        <v/>
      </c>
      <c r="K67" s="9" t="e">
        <f t="shared" ref="K67:K100" ca="1" si="28">H67-H66</f>
        <v>#VALUE!</v>
      </c>
      <c r="L67" s="9" t="e">
        <f t="shared" ref="L67:L98" ca="1" si="29">K67+L66</f>
        <v>#VALUE!</v>
      </c>
      <c r="M67" s="9" t="e">
        <f t="shared" ca="1" si="21"/>
        <v>#VALUE!</v>
      </c>
      <c r="N67" s="8"/>
      <c r="O67" s="11"/>
      <c r="Q67" s="8"/>
      <c r="R67" s="12">
        <f t="shared" si="25"/>
        <v>0</v>
      </c>
      <c r="S67" s="8" t="str">
        <f t="shared" si="26"/>
        <v/>
      </c>
      <c r="T67" s="9" t="str">
        <f t="shared" ca="1" si="27"/>
        <v/>
      </c>
      <c r="U67" s="9" t="e">
        <f t="shared" ca="1" si="20"/>
        <v>#VALUE!</v>
      </c>
    </row>
    <row r="68" spans="1:21" ht="19.95" customHeight="1" x14ac:dyDescent="0.3">
      <c r="A68" s="10">
        <v>36</v>
      </c>
      <c r="B68" s="12"/>
      <c r="C68" s="8"/>
      <c r="D68" s="8"/>
      <c r="E68" s="9">
        <v>0.43958333333333299</v>
      </c>
      <c r="F68" s="9"/>
      <c r="G68" s="9" t="str">
        <f t="shared" ca="1" si="22"/>
        <v/>
      </c>
      <c r="H68" s="9" t="str">
        <f t="shared" ca="1" si="23"/>
        <v/>
      </c>
      <c r="I68" s="8" t="str">
        <f t="shared" ca="1" si="24"/>
        <v/>
      </c>
      <c r="J68" s="8" t="str">
        <f>IF(F68="","",COUNTIFS(C$2:C$201,C71,H$2:H$201,"&lt;="&amp;H68))</f>
        <v/>
      </c>
      <c r="K68" s="9" t="e">
        <f t="shared" ca="1" si="28"/>
        <v>#VALUE!</v>
      </c>
      <c r="L68" s="9" t="e">
        <f t="shared" ca="1" si="29"/>
        <v>#VALUE!</v>
      </c>
      <c r="M68" s="9" t="e">
        <f t="shared" ca="1" si="21"/>
        <v>#VALUE!</v>
      </c>
      <c r="N68" s="8"/>
      <c r="O68" s="11"/>
      <c r="Q68" s="8"/>
      <c r="R68" s="12">
        <f t="shared" si="25"/>
        <v>0</v>
      </c>
      <c r="S68" s="8" t="str">
        <f t="shared" si="26"/>
        <v/>
      </c>
      <c r="T68" s="9" t="str">
        <f t="shared" ca="1" si="27"/>
        <v/>
      </c>
      <c r="U68" s="9" t="e">
        <f t="shared" ca="1" si="20"/>
        <v>#VALUE!</v>
      </c>
    </row>
    <row r="69" spans="1:21" ht="19.95" customHeight="1" x14ac:dyDescent="0.3">
      <c r="A69" s="23">
        <v>38</v>
      </c>
      <c r="B69" s="27" t="s">
        <v>67</v>
      </c>
      <c r="C69" s="28">
        <v>3</v>
      </c>
      <c r="D69" s="28" t="s">
        <v>68</v>
      </c>
      <c r="E69" s="26">
        <v>0.44097222222222199</v>
      </c>
      <c r="F69" s="9"/>
      <c r="G69" s="9" t="str">
        <f t="shared" ca="1" si="22"/>
        <v/>
      </c>
      <c r="H69" s="9" t="str">
        <f t="shared" ca="1" si="23"/>
        <v/>
      </c>
      <c r="I69" s="8" t="str">
        <f t="shared" ca="1" si="24"/>
        <v/>
      </c>
      <c r="J69" s="8" t="str">
        <f>IF(F69="","",COUNTIFS(C$2:C$201,C72,H$2:H$201,"&lt;="&amp;H69))</f>
        <v/>
      </c>
      <c r="K69" s="9" t="e">
        <f t="shared" ca="1" si="28"/>
        <v>#VALUE!</v>
      </c>
      <c r="L69" s="9" t="e">
        <f t="shared" ca="1" si="29"/>
        <v>#VALUE!</v>
      </c>
      <c r="M69" s="9" t="e">
        <f t="shared" ca="1" si="21"/>
        <v>#VALUE!</v>
      </c>
      <c r="N69" s="8"/>
      <c r="O69" s="11"/>
      <c r="Q69" s="8"/>
      <c r="R69" s="12">
        <f t="shared" si="25"/>
        <v>0</v>
      </c>
      <c r="S69" s="8" t="str">
        <f t="shared" si="26"/>
        <v/>
      </c>
      <c r="T69" s="9" t="str">
        <f t="shared" ca="1" si="27"/>
        <v/>
      </c>
      <c r="U69" s="9" t="e">
        <f t="shared" ca="1" si="20"/>
        <v>#VALUE!</v>
      </c>
    </row>
    <row r="70" spans="1:21" ht="19.95" customHeight="1" x14ac:dyDescent="0.3">
      <c r="A70" s="10">
        <v>48</v>
      </c>
      <c r="B70" s="12"/>
      <c r="C70" s="8"/>
      <c r="D70" s="8"/>
      <c r="E70" s="9">
        <v>0.44652777777777802</v>
      </c>
      <c r="F70" s="9"/>
      <c r="G70" s="9" t="str">
        <f t="shared" ca="1" si="22"/>
        <v/>
      </c>
      <c r="H70" s="9" t="str">
        <f t="shared" ca="1" si="23"/>
        <v/>
      </c>
      <c r="I70" s="8" t="str">
        <f t="shared" ca="1" si="24"/>
        <v/>
      </c>
      <c r="J70" s="8" t="str">
        <f>IF(F70="","",COUNTIFS(C$2:C$201,C70,H$2:H$201,"&lt;="&amp;H70))</f>
        <v/>
      </c>
      <c r="K70" s="9" t="e">
        <f t="shared" ca="1" si="28"/>
        <v>#VALUE!</v>
      </c>
      <c r="L70" s="9" t="e">
        <f t="shared" ca="1" si="29"/>
        <v>#VALUE!</v>
      </c>
      <c r="M70" s="9" t="e">
        <f t="shared" ca="1" si="21"/>
        <v>#VALUE!</v>
      </c>
      <c r="N70" s="8"/>
      <c r="O70" s="11"/>
      <c r="Q70" s="8"/>
      <c r="R70" s="12">
        <f t="shared" si="25"/>
        <v>0</v>
      </c>
      <c r="S70" s="8" t="str">
        <f t="shared" si="26"/>
        <v/>
      </c>
      <c r="T70" s="9" t="str">
        <f t="shared" ca="1" si="27"/>
        <v/>
      </c>
      <c r="U70" s="9" t="e">
        <f t="shared" ca="1" si="20"/>
        <v>#VALUE!</v>
      </c>
    </row>
    <row r="71" spans="1:21" ht="19.95" customHeight="1" x14ac:dyDescent="0.3">
      <c r="A71" s="10">
        <v>49</v>
      </c>
      <c r="E71" s="9">
        <v>0.44722222222222202</v>
      </c>
      <c r="F71" s="9"/>
      <c r="G71" s="9" t="str">
        <f t="shared" ca="1" si="22"/>
        <v/>
      </c>
      <c r="H71" s="9" t="str">
        <f t="shared" ca="1" si="23"/>
        <v/>
      </c>
      <c r="I71" s="8" t="str">
        <f t="shared" ca="1" si="24"/>
        <v/>
      </c>
      <c r="J71" s="8" t="str">
        <f>IF(F71="","",COUNTIFS(C$2:C$201,C71,H$2:H$201,"&lt;="&amp;H71))</f>
        <v/>
      </c>
      <c r="K71" s="9" t="e">
        <f t="shared" ca="1" si="28"/>
        <v>#VALUE!</v>
      </c>
      <c r="L71" s="9" t="e">
        <f t="shared" ca="1" si="29"/>
        <v>#VALUE!</v>
      </c>
      <c r="M71" s="9" t="e">
        <f t="shared" ca="1" si="21"/>
        <v>#VALUE!</v>
      </c>
      <c r="N71" s="8"/>
      <c r="O71" s="11"/>
      <c r="Q71" s="8"/>
      <c r="R71" s="12">
        <f t="shared" si="25"/>
        <v>0</v>
      </c>
      <c r="S71" s="8" t="str">
        <f t="shared" si="26"/>
        <v/>
      </c>
      <c r="T71" s="9" t="str">
        <f t="shared" ca="1" si="27"/>
        <v/>
      </c>
      <c r="U71" s="9" t="e">
        <f t="shared" ca="1" si="20"/>
        <v>#VALUE!</v>
      </c>
    </row>
    <row r="72" spans="1:21" ht="19.95" customHeight="1" x14ac:dyDescent="0.3">
      <c r="A72" s="10">
        <v>50</v>
      </c>
      <c r="B72" s="12"/>
      <c r="C72" s="8"/>
      <c r="D72" s="8"/>
      <c r="E72" s="9">
        <v>0.44791666666666702</v>
      </c>
      <c r="F72" s="9"/>
      <c r="G72" s="9" t="str">
        <f t="shared" ca="1" si="22"/>
        <v/>
      </c>
      <c r="H72" s="9" t="str">
        <f t="shared" ca="1" si="23"/>
        <v/>
      </c>
      <c r="I72" s="8" t="str">
        <f t="shared" ca="1" si="24"/>
        <v/>
      </c>
      <c r="J72" s="8" t="str">
        <f>IF(F72="","",COUNTIFS(C$2:C$201,C72,H$2:H$201,"&lt;="&amp;H72))</f>
        <v/>
      </c>
      <c r="K72" s="9" t="e">
        <f t="shared" ca="1" si="28"/>
        <v>#VALUE!</v>
      </c>
      <c r="L72" s="9" t="e">
        <f t="shared" ca="1" si="29"/>
        <v>#VALUE!</v>
      </c>
      <c r="M72" s="9" t="e">
        <f t="shared" ca="1" si="21"/>
        <v>#VALUE!</v>
      </c>
      <c r="N72" s="8"/>
      <c r="O72" s="11"/>
      <c r="Q72" s="8"/>
      <c r="R72" s="12">
        <f t="shared" si="25"/>
        <v>0</v>
      </c>
      <c r="S72" s="8" t="str">
        <f t="shared" si="26"/>
        <v/>
      </c>
      <c r="T72" s="9" t="str">
        <f t="shared" ca="1" si="27"/>
        <v/>
      </c>
      <c r="U72" s="9" t="e">
        <f t="shared" ca="1" si="20"/>
        <v>#VALUE!</v>
      </c>
    </row>
    <row r="73" spans="1:21" ht="19.95" customHeight="1" x14ac:dyDescent="0.3">
      <c r="A73" s="10">
        <v>61</v>
      </c>
      <c r="B73" s="12"/>
      <c r="C73" s="8"/>
      <c r="D73" s="8"/>
      <c r="E73" s="9">
        <v>0.45555555555555499</v>
      </c>
      <c r="F73" s="9"/>
      <c r="G73" s="9" t="str">
        <f t="shared" ca="1" si="22"/>
        <v/>
      </c>
      <c r="H73" s="9" t="str">
        <f t="shared" ca="1" si="23"/>
        <v/>
      </c>
      <c r="I73" s="8" t="str">
        <f t="shared" ca="1" si="24"/>
        <v/>
      </c>
      <c r="J73" s="8" t="str">
        <f>IF(F73="","",COUNTIFS(C$2:C$201,C73,H$2:H$201,"&lt;="&amp;H73))</f>
        <v/>
      </c>
      <c r="K73" s="9" t="e">
        <f t="shared" ca="1" si="28"/>
        <v>#VALUE!</v>
      </c>
      <c r="L73" s="9" t="e">
        <f t="shared" ca="1" si="29"/>
        <v>#VALUE!</v>
      </c>
      <c r="M73" s="9" t="e">
        <f t="shared" ca="1" si="21"/>
        <v>#VALUE!</v>
      </c>
      <c r="N73" s="8"/>
      <c r="O73" s="11"/>
      <c r="Q73" s="8"/>
      <c r="R73" s="12">
        <f t="shared" si="25"/>
        <v>0</v>
      </c>
      <c r="S73" s="8" t="str">
        <f t="shared" si="26"/>
        <v/>
      </c>
      <c r="T73" s="9" t="str">
        <f t="shared" ca="1" si="27"/>
        <v/>
      </c>
      <c r="U73" s="9" t="e">
        <f t="shared" ca="1" si="20"/>
        <v>#VALUE!</v>
      </c>
    </row>
    <row r="74" spans="1:21" ht="19.95" customHeight="1" x14ac:dyDescent="0.3">
      <c r="A74" s="10"/>
      <c r="B74" s="12"/>
      <c r="C74" s="8"/>
      <c r="D74" s="8"/>
      <c r="E74" s="9">
        <v>0.45624999999999999</v>
      </c>
      <c r="F74" s="9"/>
      <c r="G74" s="9" t="str">
        <f t="shared" ca="1" si="22"/>
        <v/>
      </c>
      <c r="H74" s="9" t="str">
        <f t="shared" ca="1" si="23"/>
        <v/>
      </c>
      <c r="I74" s="8" t="str">
        <f t="shared" ca="1" si="24"/>
        <v/>
      </c>
      <c r="J74" s="8" t="str">
        <f>IF(F74="","",COUNTIFS(C$2:C$201,#REF!,H$2:H$201,"&lt;="&amp;H74))</f>
        <v/>
      </c>
      <c r="K74" s="9" t="e">
        <f t="shared" ca="1" si="28"/>
        <v>#VALUE!</v>
      </c>
      <c r="L74" s="9" t="e">
        <f t="shared" ca="1" si="29"/>
        <v>#VALUE!</v>
      </c>
      <c r="M74" s="9" t="e">
        <f t="shared" ca="1" si="21"/>
        <v>#VALUE!</v>
      </c>
      <c r="N74" s="8"/>
      <c r="O74" s="11"/>
      <c r="Q74" s="8"/>
      <c r="R74" s="12">
        <f t="shared" si="25"/>
        <v>0</v>
      </c>
      <c r="S74" s="8" t="str">
        <f t="shared" si="26"/>
        <v/>
      </c>
      <c r="T74" s="9" t="str">
        <f t="shared" ca="1" si="27"/>
        <v/>
      </c>
      <c r="U74" s="9" t="e">
        <f t="shared" ca="1" si="20"/>
        <v>#VALUE!</v>
      </c>
    </row>
    <row r="75" spans="1:21" ht="19.95" customHeight="1" x14ac:dyDescent="0.3">
      <c r="A75" s="23">
        <v>66</v>
      </c>
      <c r="B75" s="34" t="s">
        <v>30</v>
      </c>
      <c r="C75" s="35">
        <v>1</v>
      </c>
      <c r="D75" s="35" t="s">
        <v>66</v>
      </c>
      <c r="E75" s="9">
        <v>0.45902777777777798</v>
      </c>
      <c r="F75" s="9"/>
      <c r="G75" s="9" t="str">
        <f t="shared" ca="1" si="22"/>
        <v/>
      </c>
      <c r="H75" s="9" t="str">
        <f t="shared" ca="1" si="23"/>
        <v/>
      </c>
      <c r="I75" s="8" t="str">
        <f t="shared" ca="1" si="24"/>
        <v/>
      </c>
      <c r="J75" s="8" t="str">
        <f>IF(F75="","",COUNTIFS(C$2:C$201,C73,H$2:H$201,"&lt;="&amp;H75))</f>
        <v/>
      </c>
      <c r="K75" s="9" t="e">
        <f t="shared" ca="1" si="28"/>
        <v>#VALUE!</v>
      </c>
      <c r="L75" s="9" t="e">
        <f t="shared" ca="1" si="29"/>
        <v>#VALUE!</v>
      </c>
      <c r="M75" s="9" t="e">
        <f t="shared" ca="1" si="21"/>
        <v>#VALUE!</v>
      </c>
      <c r="N75" s="8"/>
      <c r="O75" s="11"/>
      <c r="Q75" s="8"/>
      <c r="R75" s="12">
        <f t="shared" si="25"/>
        <v>0</v>
      </c>
      <c r="S75" s="8" t="str">
        <f t="shared" si="26"/>
        <v/>
      </c>
      <c r="T75" s="9" t="str">
        <f t="shared" ca="1" si="27"/>
        <v/>
      </c>
      <c r="U75" s="9" t="e">
        <f t="shared" ca="1" si="20"/>
        <v>#VALUE!</v>
      </c>
    </row>
    <row r="76" spans="1:21" ht="19.95" customHeight="1" x14ac:dyDescent="0.3">
      <c r="A76" s="10">
        <v>70</v>
      </c>
      <c r="B76" s="12"/>
      <c r="C76" s="8"/>
      <c r="D76" s="8"/>
      <c r="E76" s="9">
        <v>0.46180555555555503</v>
      </c>
      <c r="F76" s="9"/>
      <c r="G76" s="9" t="str">
        <f t="shared" ca="1" si="22"/>
        <v/>
      </c>
      <c r="H76" s="9" t="str">
        <f t="shared" ca="1" si="23"/>
        <v/>
      </c>
      <c r="I76" s="8" t="str">
        <f t="shared" ca="1" si="24"/>
        <v/>
      </c>
      <c r="J76" s="8" t="str">
        <f>IF(F76="","",COUNTIFS(C$2:C$201,C75,H$2:H$201,"&lt;="&amp;H76))</f>
        <v/>
      </c>
      <c r="K76" s="9" t="e">
        <f t="shared" ca="1" si="28"/>
        <v>#VALUE!</v>
      </c>
      <c r="L76" s="9" t="e">
        <f t="shared" ca="1" si="29"/>
        <v>#VALUE!</v>
      </c>
      <c r="M76" s="9" t="e">
        <f t="shared" ca="1" si="21"/>
        <v>#VALUE!</v>
      </c>
      <c r="N76" s="8"/>
      <c r="O76" s="11"/>
      <c r="Q76" s="8"/>
      <c r="R76" s="12">
        <f t="shared" si="25"/>
        <v>0</v>
      </c>
      <c r="S76" s="8" t="str">
        <f t="shared" si="26"/>
        <v/>
      </c>
      <c r="T76" s="9" t="str">
        <f t="shared" ca="1" si="27"/>
        <v/>
      </c>
      <c r="U76" s="9" t="e">
        <f t="shared" ca="1" si="20"/>
        <v>#VALUE!</v>
      </c>
    </row>
    <row r="77" spans="1:21" ht="19.95" customHeight="1" x14ac:dyDescent="0.3">
      <c r="A77" s="10">
        <v>71</v>
      </c>
      <c r="B77" s="12"/>
      <c r="C77" s="8"/>
      <c r="D77" s="8"/>
      <c r="E77" s="9">
        <v>0.46250000000000002</v>
      </c>
      <c r="F77" s="9"/>
      <c r="G77" s="9" t="str">
        <f t="shared" ca="1" si="22"/>
        <v/>
      </c>
      <c r="H77" s="9" t="str">
        <f t="shared" ca="1" si="23"/>
        <v/>
      </c>
      <c r="I77" s="8" t="str">
        <f t="shared" ca="1" si="24"/>
        <v/>
      </c>
      <c r="J77" s="8" t="str">
        <f>IF(F77="","",COUNTIFS(C$2:C$201,C77,H$2:H$201,"&lt;="&amp;H77))</f>
        <v/>
      </c>
      <c r="K77" s="9" t="e">
        <f t="shared" ca="1" si="28"/>
        <v>#VALUE!</v>
      </c>
      <c r="L77" s="9" t="e">
        <f t="shared" ca="1" si="29"/>
        <v>#VALUE!</v>
      </c>
      <c r="M77" s="9" t="e">
        <f t="shared" ca="1" si="21"/>
        <v>#VALUE!</v>
      </c>
      <c r="N77" s="8"/>
      <c r="O77" s="11"/>
      <c r="Q77" s="8"/>
      <c r="R77" s="12">
        <f t="shared" si="25"/>
        <v>0</v>
      </c>
      <c r="S77" s="8" t="str">
        <f t="shared" si="26"/>
        <v/>
      </c>
      <c r="T77" s="9" t="str">
        <f t="shared" ca="1" si="27"/>
        <v/>
      </c>
      <c r="U77" s="9" t="e">
        <f t="shared" ca="1" si="20"/>
        <v>#VALUE!</v>
      </c>
    </row>
    <row r="78" spans="1:21" ht="19.95" customHeight="1" x14ac:dyDescent="0.3">
      <c r="A78" s="10">
        <v>72</v>
      </c>
      <c r="B78" s="12"/>
      <c r="C78" s="8"/>
      <c r="D78" s="8"/>
      <c r="E78" s="9">
        <v>0.46319444444444402</v>
      </c>
      <c r="F78" s="9"/>
      <c r="G78" s="9" t="str">
        <f t="shared" ca="1" si="22"/>
        <v/>
      </c>
      <c r="H78" s="9" t="str">
        <f t="shared" ca="1" si="23"/>
        <v/>
      </c>
      <c r="I78" s="8" t="str">
        <f t="shared" ca="1" si="24"/>
        <v/>
      </c>
      <c r="J78" s="8" t="str">
        <f>IF(F78="","",COUNTIFS(C$2:C$201,C78,H$2:H$201,"&lt;="&amp;H78))</f>
        <v/>
      </c>
      <c r="K78" s="9" t="e">
        <f t="shared" ca="1" si="28"/>
        <v>#VALUE!</v>
      </c>
      <c r="L78" s="9" t="e">
        <f t="shared" ca="1" si="29"/>
        <v>#VALUE!</v>
      </c>
      <c r="M78" s="9" t="e">
        <f t="shared" ca="1" si="21"/>
        <v>#VALUE!</v>
      </c>
      <c r="N78" s="8"/>
      <c r="O78" s="11"/>
      <c r="Q78" s="8"/>
      <c r="R78" s="12">
        <f t="shared" si="25"/>
        <v>0</v>
      </c>
      <c r="S78" s="8" t="str">
        <f t="shared" si="26"/>
        <v/>
      </c>
      <c r="T78" s="9" t="str">
        <f t="shared" ca="1" si="27"/>
        <v/>
      </c>
      <c r="U78" s="9" t="e">
        <f t="shared" ca="1" si="20"/>
        <v>#VALUE!</v>
      </c>
    </row>
    <row r="79" spans="1:21" ht="19.95" customHeight="1" x14ac:dyDescent="0.3">
      <c r="A79" s="10">
        <v>74</v>
      </c>
      <c r="B79" s="12"/>
      <c r="C79" s="8"/>
      <c r="D79" s="8"/>
      <c r="E79" s="9">
        <v>0.46458333333333302</v>
      </c>
      <c r="F79" s="9"/>
      <c r="G79" s="9" t="str">
        <f t="shared" ca="1" si="22"/>
        <v/>
      </c>
      <c r="H79" s="9" t="str">
        <f t="shared" ca="1" si="23"/>
        <v/>
      </c>
      <c r="I79" s="8" t="str">
        <f t="shared" ca="1" si="24"/>
        <v/>
      </c>
      <c r="J79" s="8" t="str">
        <f>IF(F79="","",COUNTIFS(C$2:C$201,#REF!,H$2:H$201,"&lt;="&amp;H79))</f>
        <v/>
      </c>
      <c r="K79" s="9" t="e">
        <f t="shared" ca="1" si="28"/>
        <v>#VALUE!</v>
      </c>
      <c r="L79" s="9" t="e">
        <f t="shared" ca="1" si="29"/>
        <v>#VALUE!</v>
      </c>
      <c r="M79" s="9" t="e">
        <f t="shared" ca="1" si="21"/>
        <v>#VALUE!</v>
      </c>
      <c r="N79" s="8"/>
      <c r="O79" s="11"/>
      <c r="Q79" s="8"/>
      <c r="R79" s="12">
        <f t="shared" si="25"/>
        <v>0</v>
      </c>
      <c r="S79" s="8" t="str">
        <f t="shared" si="26"/>
        <v/>
      </c>
      <c r="T79" s="9" t="str">
        <f t="shared" ca="1" si="27"/>
        <v/>
      </c>
      <c r="U79" s="9" t="e">
        <f t="shared" ca="1" si="20"/>
        <v>#VALUE!</v>
      </c>
    </row>
    <row r="80" spans="1:21" ht="19.95" customHeight="1" x14ac:dyDescent="0.3">
      <c r="A80" s="10">
        <v>75</v>
      </c>
      <c r="B80" s="17" t="s">
        <v>52</v>
      </c>
      <c r="C80" s="18">
        <v>4</v>
      </c>
      <c r="D80" s="18" t="s">
        <v>62</v>
      </c>
      <c r="E80" s="9">
        <v>0.46527777777777801</v>
      </c>
      <c r="F80" s="9"/>
      <c r="G80" s="9" t="str">
        <f t="shared" ca="1" si="22"/>
        <v/>
      </c>
      <c r="H80" s="9" t="str">
        <f t="shared" ca="1" si="23"/>
        <v/>
      </c>
      <c r="I80" s="8" t="str">
        <f t="shared" ca="1" si="24"/>
        <v/>
      </c>
      <c r="J80" s="8" t="str">
        <f>IF(F80="","",COUNTIFS(C$2:C$201,C80,H$2:H$201,"&lt;="&amp;H80))</f>
        <v/>
      </c>
      <c r="K80" s="9" t="e">
        <f t="shared" ca="1" si="28"/>
        <v>#VALUE!</v>
      </c>
      <c r="L80" s="9" t="e">
        <f t="shared" ca="1" si="29"/>
        <v>#VALUE!</v>
      </c>
      <c r="M80" s="9" t="e">
        <f t="shared" ca="1" si="21"/>
        <v>#VALUE!</v>
      </c>
      <c r="N80" s="8"/>
      <c r="O80" s="11"/>
      <c r="Q80" s="8"/>
      <c r="R80" s="12">
        <f t="shared" si="25"/>
        <v>0</v>
      </c>
      <c r="S80" s="8" t="str">
        <f t="shared" si="26"/>
        <v/>
      </c>
      <c r="T80" s="9" t="str">
        <f t="shared" ca="1" si="27"/>
        <v/>
      </c>
      <c r="U80" s="9" t="e">
        <f t="shared" ca="1" si="20"/>
        <v>#VALUE!</v>
      </c>
    </row>
    <row r="81" spans="1:21" ht="19.95" customHeight="1" x14ac:dyDescent="0.3">
      <c r="A81" s="10">
        <v>84</v>
      </c>
      <c r="B81" s="12"/>
      <c r="C81" s="8"/>
      <c r="D81" s="8"/>
      <c r="E81" s="9">
        <v>0.47152777777777799</v>
      </c>
      <c r="F81" s="9"/>
      <c r="G81" s="9" t="str">
        <f t="shared" ca="1" si="22"/>
        <v/>
      </c>
      <c r="H81" s="9" t="str">
        <f t="shared" ca="1" si="23"/>
        <v/>
      </c>
      <c r="I81" s="8" t="str">
        <f t="shared" ca="1" si="24"/>
        <v/>
      </c>
      <c r="J81" s="8" t="str">
        <f>IF(F81="","",COUNTIFS(C$2:C$201,C80,H$2:H$201,"&lt;="&amp;H81))</f>
        <v/>
      </c>
      <c r="K81" s="9" t="e">
        <f t="shared" ca="1" si="28"/>
        <v>#VALUE!</v>
      </c>
      <c r="L81" s="9" t="e">
        <f t="shared" ca="1" si="29"/>
        <v>#VALUE!</v>
      </c>
      <c r="M81" s="9" t="e">
        <f t="shared" ca="1" si="21"/>
        <v>#VALUE!</v>
      </c>
      <c r="N81" s="8"/>
      <c r="O81" s="11"/>
      <c r="Q81" s="8"/>
      <c r="R81" s="12">
        <f t="shared" si="25"/>
        <v>0</v>
      </c>
      <c r="S81" s="8" t="str">
        <f t="shared" si="26"/>
        <v/>
      </c>
      <c r="T81" s="9" t="str">
        <f t="shared" ca="1" si="27"/>
        <v/>
      </c>
      <c r="U81" s="9" t="e">
        <f t="shared" ca="1" si="20"/>
        <v>#VALUE!</v>
      </c>
    </row>
    <row r="82" spans="1:21" ht="19.95" customHeight="1" x14ac:dyDescent="0.3">
      <c r="A82" s="10">
        <v>85</v>
      </c>
      <c r="B82" s="12"/>
      <c r="C82" s="8"/>
      <c r="D82" s="8"/>
      <c r="E82" s="9">
        <v>0.47222222222222199</v>
      </c>
      <c r="F82" s="9"/>
      <c r="G82" s="9" t="str">
        <f t="shared" ca="1" si="22"/>
        <v/>
      </c>
      <c r="H82" s="9" t="str">
        <f t="shared" ca="1" si="23"/>
        <v/>
      </c>
      <c r="I82" s="8" t="str">
        <f t="shared" ca="1" si="24"/>
        <v/>
      </c>
      <c r="J82" s="8" t="str">
        <f>IF(F82="","",COUNTIFS(C$2:C$201,C81,H$2:H$201,"&lt;="&amp;H82))</f>
        <v/>
      </c>
      <c r="K82" s="9" t="e">
        <f t="shared" ca="1" si="28"/>
        <v>#VALUE!</v>
      </c>
      <c r="L82" s="9" t="e">
        <f t="shared" ca="1" si="29"/>
        <v>#VALUE!</v>
      </c>
      <c r="M82" s="9" t="e">
        <f t="shared" ca="1" si="21"/>
        <v>#VALUE!</v>
      </c>
      <c r="N82" s="8"/>
      <c r="O82" s="8"/>
      <c r="Q82" s="8"/>
      <c r="R82" s="12">
        <f t="shared" si="25"/>
        <v>0</v>
      </c>
      <c r="S82" s="8" t="str">
        <f t="shared" si="26"/>
        <v/>
      </c>
      <c r="T82" s="9" t="str">
        <f t="shared" ca="1" si="27"/>
        <v/>
      </c>
      <c r="U82" s="9" t="e">
        <f t="shared" ca="1" si="20"/>
        <v>#VALUE!</v>
      </c>
    </row>
    <row r="83" spans="1:21" ht="19.95" customHeight="1" x14ac:dyDescent="0.3">
      <c r="A83" s="10">
        <v>87</v>
      </c>
      <c r="B83" s="12"/>
      <c r="C83" s="8"/>
      <c r="D83" s="8"/>
      <c r="E83" s="9">
        <v>0.47291666666666599</v>
      </c>
      <c r="F83" s="9"/>
      <c r="G83" s="9" t="str">
        <f t="shared" ca="1" si="22"/>
        <v/>
      </c>
      <c r="H83" s="9" t="str">
        <f t="shared" ca="1" si="23"/>
        <v/>
      </c>
      <c r="I83" s="8" t="str">
        <f t="shared" ca="1" si="24"/>
        <v/>
      </c>
      <c r="J83" s="8" t="str">
        <f t="shared" ref="J83:J100" si="30">IF(F83="","",COUNTIFS(C$2:C$201,C83,H$2:H$201,"&lt;="&amp;H83))</f>
        <v/>
      </c>
      <c r="K83" s="9" t="e">
        <f t="shared" ca="1" si="28"/>
        <v>#VALUE!</v>
      </c>
      <c r="L83" s="9" t="e">
        <f t="shared" ca="1" si="29"/>
        <v>#VALUE!</v>
      </c>
      <c r="M83" s="9" t="e">
        <f t="shared" ca="1" si="21"/>
        <v>#VALUE!</v>
      </c>
      <c r="N83" s="8"/>
      <c r="O83" s="8"/>
      <c r="Q83" s="8"/>
      <c r="R83" s="12">
        <f t="shared" si="25"/>
        <v>0</v>
      </c>
      <c r="S83" s="8" t="str">
        <f t="shared" si="26"/>
        <v/>
      </c>
      <c r="T83" s="9" t="str">
        <f t="shared" ca="1" si="27"/>
        <v/>
      </c>
      <c r="U83" s="9" t="e">
        <f t="shared" ca="1" si="20"/>
        <v>#VALUE!</v>
      </c>
    </row>
    <row r="84" spans="1:21" ht="19.95" customHeight="1" x14ac:dyDescent="0.3">
      <c r="A84" s="10">
        <v>88</v>
      </c>
      <c r="B84" s="12"/>
      <c r="C84" s="8"/>
      <c r="D84" s="8"/>
      <c r="E84" s="9">
        <v>0.47361111111111098</v>
      </c>
      <c r="F84" s="9"/>
      <c r="G84" s="9" t="str">
        <f t="shared" ca="1" si="22"/>
        <v/>
      </c>
      <c r="H84" s="9" t="str">
        <f t="shared" ca="1" si="23"/>
        <v/>
      </c>
      <c r="I84" s="8" t="str">
        <f t="shared" ca="1" si="24"/>
        <v/>
      </c>
      <c r="J84" s="8" t="str">
        <f t="shared" si="30"/>
        <v/>
      </c>
      <c r="K84" s="9" t="e">
        <f t="shared" ca="1" si="28"/>
        <v>#VALUE!</v>
      </c>
      <c r="L84" s="9" t="e">
        <f t="shared" ca="1" si="29"/>
        <v>#VALUE!</v>
      </c>
      <c r="M84" s="9" t="e">
        <f t="shared" ca="1" si="21"/>
        <v>#VALUE!</v>
      </c>
      <c r="N84" s="8"/>
      <c r="O84" s="8"/>
      <c r="Q84" s="8"/>
      <c r="R84" s="12">
        <f t="shared" si="25"/>
        <v>0</v>
      </c>
      <c r="S84" s="8" t="str">
        <f t="shared" si="26"/>
        <v/>
      </c>
      <c r="T84" s="9" t="str">
        <f t="shared" ca="1" si="27"/>
        <v/>
      </c>
      <c r="U84" s="9" t="e">
        <f t="shared" ca="1" si="20"/>
        <v>#VALUE!</v>
      </c>
    </row>
    <row r="85" spans="1:21" ht="19.95" customHeight="1" x14ac:dyDescent="0.3">
      <c r="A85" s="10">
        <v>89</v>
      </c>
      <c r="B85" s="12"/>
      <c r="C85" s="8"/>
      <c r="D85" s="8"/>
      <c r="E85" s="9">
        <v>0.47430555555555498</v>
      </c>
      <c r="F85" s="9"/>
      <c r="G85" s="9" t="str">
        <f t="shared" ca="1" si="22"/>
        <v/>
      </c>
      <c r="H85" s="9" t="str">
        <f t="shared" ca="1" si="23"/>
        <v/>
      </c>
      <c r="I85" s="8" t="str">
        <f t="shared" ca="1" si="24"/>
        <v/>
      </c>
      <c r="J85" s="8" t="str">
        <f t="shared" si="30"/>
        <v/>
      </c>
      <c r="K85" s="9" t="e">
        <f t="shared" ca="1" si="28"/>
        <v>#VALUE!</v>
      </c>
      <c r="L85" s="9" t="e">
        <f t="shared" ca="1" si="29"/>
        <v>#VALUE!</v>
      </c>
      <c r="M85" s="9" t="e">
        <f t="shared" ca="1" si="21"/>
        <v>#VALUE!</v>
      </c>
      <c r="N85" s="8"/>
      <c r="O85" s="8"/>
      <c r="Q85" s="8"/>
      <c r="R85" s="12">
        <f t="shared" si="25"/>
        <v>0</v>
      </c>
      <c r="S85" s="8" t="str">
        <f t="shared" si="26"/>
        <v/>
      </c>
      <c r="T85" s="9" t="str">
        <f t="shared" ca="1" si="27"/>
        <v/>
      </c>
      <c r="U85" s="9" t="e">
        <f t="shared" ca="1" si="20"/>
        <v>#VALUE!</v>
      </c>
    </row>
    <row r="86" spans="1:21" ht="19.95" customHeight="1" x14ac:dyDescent="0.3">
      <c r="A86" s="10">
        <v>90</v>
      </c>
      <c r="B86" s="12"/>
      <c r="C86" s="8"/>
      <c r="D86" s="8"/>
      <c r="E86" s="9">
        <v>0.47499999999999998</v>
      </c>
      <c r="F86" s="9"/>
      <c r="G86" s="9" t="str">
        <f t="shared" ca="1" si="22"/>
        <v/>
      </c>
      <c r="H86" s="9" t="str">
        <f t="shared" ca="1" si="23"/>
        <v/>
      </c>
      <c r="I86" s="8" t="str">
        <f t="shared" ca="1" si="24"/>
        <v/>
      </c>
      <c r="J86" s="8" t="str">
        <f t="shared" si="30"/>
        <v/>
      </c>
      <c r="K86" s="9" t="e">
        <f t="shared" ca="1" si="28"/>
        <v>#VALUE!</v>
      </c>
      <c r="L86" s="9" t="e">
        <f t="shared" ca="1" si="29"/>
        <v>#VALUE!</v>
      </c>
      <c r="M86" s="9" t="e">
        <f t="shared" ca="1" si="21"/>
        <v>#VALUE!</v>
      </c>
      <c r="N86" s="8"/>
      <c r="O86" s="8"/>
      <c r="Q86" s="8"/>
      <c r="R86" s="12">
        <f t="shared" si="25"/>
        <v>0</v>
      </c>
      <c r="S86" s="8" t="str">
        <f t="shared" si="26"/>
        <v/>
      </c>
      <c r="T86" s="9" t="str">
        <f t="shared" ca="1" si="27"/>
        <v/>
      </c>
      <c r="U86" s="9" t="e">
        <f t="shared" ca="1" si="20"/>
        <v>#VALUE!</v>
      </c>
    </row>
    <row r="87" spans="1:21" ht="19.95" customHeight="1" x14ac:dyDescent="0.3">
      <c r="A87" s="10">
        <v>91</v>
      </c>
      <c r="B87" s="12"/>
      <c r="C87" s="8"/>
      <c r="D87" s="8"/>
      <c r="E87" s="9">
        <v>0.47569444444444398</v>
      </c>
      <c r="F87" s="9"/>
      <c r="G87" s="9" t="str">
        <f t="shared" ca="1" si="22"/>
        <v/>
      </c>
      <c r="H87" s="9" t="str">
        <f t="shared" ca="1" si="23"/>
        <v/>
      </c>
      <c r="I87" s="8" t="str">
        <f t="shared" ca="1" si="24"/>
        <v/>
      </c>
      <c r="J87" s="8" t="str">
        <f t="shared" si="30"/>
        <v/>
      </c>
      <c r="K87" s="9" t="e">
        <f t="shared" ca="1" si="28"/>
        <v>#VALUE!</v>
      </c>
      <c r="L87" s="9" t="e">
        <f t="shared" ca="1" si="29"/>
        <v>#VALUE!</v>
      </c>
      <c r="M87" s="9" t="e">
        <f t="shared" ca="1" si="21"/>
        <v>#VALUE!</v>
      </c>
      <c r="N87" s="8"/>
      <c r="O87" s="8"/>
      <c r="Q87" s="8"/>
      <c r="R87" s="12">
        <f t="shared" si="25"/>
        <v>0</v>
      </c>
      <c r="S87" s="8" t="str">
        <f t="shared" si="26"/>
        <v/>
      </c>
      <c r="T87" s="9" t="str">
        <f t="shared" ca="1" si="27"/>
        <v/>
      </c>
      <c r="U87" s="9" t="e">
        <f t="shared" ca="1" si="20"/>
        <v>#VALUE!</v>
      </c>
    </row>
    <row r="88" spans="1:21" ht="19.95" customHeight="1" x14ac:dyDescent="0.3">
      <c r="A88" s="10">
        <v>92</v>
      </c>
      <c r="B88" s="16"/>
      <c r="C88" s="13"/>
      <c r="D88" s="13"/>
      <c r="E88" s="9">
        <v>0.47638888888888897</v>
      </c>
      <c r="F88" s="9"/>
      <c r="G88" s="9" t="str">
        <f t="shared" ca="1" si="22"/>
        <v/>
      </c>
      <c r="H88" s="9" t="str">
        <f t="shared" ca="1" si="23"/>
        <v/>
      </c>
      <c r="I88" s="8" t="str">
        <f t="shared" ca="1" si="24"/>
        <v/>
      </c>
      <c r="J88" s="8" t="str">
        <f t="shared" si="30"/>
        <v/>
      </c>
      <c r="K88" s="9" t="e">
        <f t="shared" ca="1" si="28"/>
        <v>#VALUE!</v>
      </c>
      <c r="L88" s="9" t="e">
        <f t="shared" ca="1" si="29"/>
        <v>#VALUE!</v>
      </c>
      <c r="M88" s="9" t="e">
        <f t="shared" ca="1" si="21"/>
        <v>#VALUE!</v>
      </c>
      <c r="N88" s="8"/>
      <c r="O88" s="8"/>
      <c r="Q88" s="8"/>
      <c r="R88" s="12">
        <f t="shared" si="25"/>
        <v>0</v>
      </c>
      <c r="S88" s="8" t="str">
        <f t="shared" si="26"/>
        <v/>
      </c>
      <c r="T88" s="9" t="str">
        <f t="shared" ca="1" si="27"/>
        <v/>
      </c>
      <c r="U88" s="9" t="e">
        <f t="shared" ca="1" si="20"/>
        <v>#VALUE!</v>
      </c>
    </row>
    <row r="89" spans="1:21" ht="19.95" customHeight="1" x14ac:dyDescent="0.3">
      <c r="A89" s="10">
        <v>93</v>
      </c>
      <c r="B89" s="12"/>
      <c r="C89" s="8"/>
      <c r="D89" s="8"/>
      <c r="E89" s="9">
        <v>0.47708333333333303</v>
      </c>
      <c r="F89" s="9"/>
      <c r="G89" s="9" t="str">
        <f t="shared" ca="1" si="22"/>
        <v/>
      </c>
      <c r="H89" s="9" t="str">
        <f t="shared" ca="1" si="23"/>
        <v/>
      </c>
      <c r="I89" s="8" t="str">
        <f t="shared" ca="1" si="24"/>
        <v/>
      </c>
      <c r="J89" s="8" t="str">
        <f t="shared" si="30"/>
        <v/>
      </c>
      <c r="K89" s="9" t="e">
        <f t="shared" ca="1" si="28"/>
        <v>#VALUE!</v>
      </c>
      <c r="L89" s="9" t="e">
        <f t="shared" ca="1" si="29"/>
        <v>#VALUE!</v>
      </c>
      <c r="M89" s="9" t="e">
        <f t="shared" ca="1" si="21"/>
        <v>#VALUE!</v>
      </c>
      <c r="N89" s="8"/>
      <c r="O89" s="8"/>
      <c r="Q89" s="8"/>
      <c r="R89" s="12">
        <f t="shared" si="25"/>
        <v>0</v>
      </c>
      <c r="S89" s="8" t="str">
        <f t="shared" si="26"/>
        <v/>
      </c>
      <c r="T89" s="9" t="str">
        <f t="shared" ca="1" si="27"/>
        <v/>
      </c>
      <c r="U89" s="9" t="e">
        <f t="shared" ca="1" si="20"/>
        <v>#VALUE!</v>
      </c>
    </row>
    <row r="90" spans="1:21" ht="19.95" customHeight="1" x14ac:dyDescent="0.3">
      <c r="A90" s="10">
        <v>94</v>
      </c>
      <c r="B90" s="12"/>
      <c r="C90" s="8"/>
      <c r="D90" s="8"/>
      <c r="E90" s="9">
        <v>0.47777777777777802</v>
      </c>
      <c r="F90" s="9"/>
      <c r="G90" s="9" t="str">
        <f t="shared" ca="1" si="22"/>
        <v/>
      </c>
      <c r="H90" s="9" t="str">
        <f t="shared" ca="1" si="23"/>
        <v/>
      </c>
      <c r="I90" s="8" t="str">
        <f t="shared" ca="1" si="24"/>
        <v/>
      </c>
      <c r="J90" s="8" t="str">
        <f t="shared" si="30"/>
        <v/>
      </c>
      <c r="K90" s="9" t="e">
        <f t="shared" ca="1" si="28"/>
        <v>#VALUE!</v>
      </c>
      <c r="L90" s="9" t="e">
        <f t="shared" ca="1" si="29"/>
        <v>#VALUE!</v>
      </c>
      <c r="M90" s="9" t="e">
        <f t="shared" ca="1" si="21"/>
        <v>#VALUE!</v>
      </c>
      <c r="N90" s="8"/>
      <c r="O90" s="8"/>
      <c r="Q90" s="8"/>
      <c r="R90" s="12">
        <f t="shared" si="25"/>
        <v>0</v>
      </c>
      <c r="S90" s="8" t="str">
        <f t="shared" si="26"/>
        <v/>
      </c>
      <c r="T90" s="9" t="str">
        <f t="shared" ca="1" si="27"/>
        <v/>
      </c>
      <c r="U90" s="9" t="e">
        <f t="shared" ca="1" si="20"/>
        <v>#VALUE!</v>
      </c>
    </row>
    <row r="91" spans="1:21" ht="19.95" customHeight="1" x14ac:dyDescent="0.3">
      <c r="A91" s="10">
        <v>95</v>
      </c>
      <c r="B91" s="12"/>
      <c r="C91" s="8"/>
      <c r="D91" s="8"/>
      <c r="E91" s="9">
        <v>0.47847222222222202</v>
      </c>
      <c r="F91" s="9"/>
      <c r="G91" s="9" t="str">
        <f t="shared" ca="1" si="22"/>
        <v/>
      </c>
      <c r="H91" s="9" t="str">
        <f t="shared" ca="1" si="23"/>
        <v/>
      </c>
      <c r="I91" s="8" t="str">
        <f t="shared" ca="1" si="24"/>
        <v/>
      </c>
      <c r="J91" s="8" t="str">
        <f t="shared" si="30"/>
        <v/>
      </c>
      <c r="K91" s="9" t="e">
        <f t="shared" ca="1" si="28"/>
        <v>#VALUE!</v>
      </c>
      <c r="L91" s="9" t="e">
        <f t="shared" ca="1" si="29"/>
        <v>#VALUE!</v>
      </c>
      <c r="M91" s="9" t="e">
        <f t="shared" ca="1" si="21"/>
        <v>#VALUE!</v>
      </c>
      <c r="N91" s="8"/>
      <c r="O91" s="8"/>
      <c r="Q91" s="8"/>
      <c r="R91" s="12">
        <f t="shared" si="25"/>
        <v>0</v>
      </c>
      <c r="S91" s="8" t="str">
        <f t="shared" si="26"/>
        <v/>
      </c>
      <c r="T91" s="9" t="str">
        <f t="shared" ca="1" si="27"/>
        <v/>
      </c>
      <c r="U91" s="9" t="e">
        <f t="shared" ca="1" si="20"/>
        <v>#VALUE!</v>
      </c>
    </row>
    <row r="92" spans="1:21" ht="19.95" customHeight="1" x14ac:dyDescent="0.3">
      <c r="A92" s="10">
        <v>96</v>
      </c>
      <c r="B92" s="12"/>
      <c r="C92" s="8"/>
      <c r="D92" s="8"/>
      <c r="E92" s="9">
        <v>0.47916666666666602</v>
      </c>
      <c r="F92" s="9"/>
      <c r="G92" s="9" t="str">
        <f t="shared" ca="1" si="22"/>
        <v/>
      </c>
      <c r="H92" s="9" t="str">
        <f t="shared" ca="1" si="23"/>
        <v/>
      </c>
      <c r="I92" s="8" t="str">
        <f t="shared" ca="1" si="24"/>
        <v/>
      </c>
      <c r="J92" s="8" t="str">
        <f t="shared" si="30"/>
        <v/>
      </c>
      <c r="K92" s="9" t="e">
        <f t="shared" ca="1" si="28"/>
        <v>#VALUE!</v>
      </c>
      <c r="L92" s="9" t="e">
        <f t="shared" ca="1" si="29"/>
        <v>#VALUE!</v>
      </c>
      <c r="M92" s="9" t="e">
        <f t="shared" ca="1" si="21"/>
        <v>#VALUE!</v>
      </c>
      <c r="N92" s="8"/>
      <c r="O92" s="8"/>
      <c r="Q92" s="8"/>
      <c r="R92" s="12">
        <f t="shared" si="25"/>
        <v>0</v>
      </c>
      <c r="S92" s="8" t="str">
        <f t="shared" si="26"/>
        <v/>
      </c>
      <c r="T92" s="9" t="str">
        <f t="shared" ca="1" si="27"/>
        <v/>
      </c>
      <c r="U92" s="9" t="e">
        <f t="shared" ca="1" si="20"/>
        <v>#VALUE!</v>
      </c>
    </row>
    <row r="93" spans="1:21" ht="19.95" customHeight="1" x14ac:dyDescent="0.3">
      <c r="A93" s="10">
        <v>97</v>
      </c>
      <c r="B93" s="12"/>
      <c r="C93" s="8"/>
      <c r="D93" s="8"/>
      <c r="E93" s="9">
        <v>0.47986111111111102</v>
      </c>
      <c r="F93" s="9"/>
      <c r="G93" s="9" t="str">
        <f t="shared" ca="1" si="22"/>
        <v/>
      </c>
      <c r="H93" s="9" t="str">
        <f t="shared" ca="1" si="23"/>
        <v/>
      </c>
      <c r="I93" s="8" t="str">
        <f t="shared" ca="1" si="24"/>
        <v/>
      </c>
      <c r="J93" s="8" t="str">
        <f t="shared" si="30"/>
        <v/>
      </c>
      <c r="K93" s="9" t="e">
        <f t="shared" ca="1" si="28"/>
        <v>#VALUE!</v>
      </c>
      <c r="L93" s="9" t="e">
        <f t="shared" ca="1" si="29"/>
        <v>#VALUE!</v>
      </c>
      <c r="M93" s="9" t="e">
        <f t="shared" ca="1" si="21"/>
        <v>#VALUE!</v>
      </c>
      <c r="N93" s="8"/>
      <c r="O93" s="8"/>
      <c r="Q93" s="8"/>
      <c r="R93" s="12">
        <f t="shared" si="25"/>
        <v>0</v>
      </c>
      <c r="S93" s="8" t="str">
        <f t="shared" si="26"/>
        <v/>
      </c>
      <c r="T93" s="9" t="str">
        <f t="shared" ca="1" si="27"/>
        <v/>
      </c>
      <c r="U93" s="9" t="e">
        <f t="shared" ca="1" si="20"/>
        <v>#VALUE!</v>
      </c>
    </row>
    <row r="94" spans="1:21" ht="19.95" customHeight="1" x14ac:dyDescent="0.3">
      <c r="A94" s="10">
        <v>98</v>
      </c>
      <c r="B94" s="12"/>
      <c r="C94" s="8"/>
      <c r="D94" s="8"/>
      <c r="E94" s="9">
        <v>0.48055555555555501</v>
      </c>
      <c r="F94" s="9"/>
      <c r="G94" s="9" t="str">
        <f t="shared" ca="1" si="22"/>
        <v/>
      </c>
      <c r="H94" s="9" t="str">
        <f t="shared" ca="1" si="23"/>
        <v/>
      </c>
      <c r="I94" s="8" t="str">
        <f t="shared" ca="1" si="24"/>
        <v/>
      </c>
      <c r="J94" s="8" t="str">
        <f t="shared" si="30"/>
        <v/>
      </c>
      <c r="K94" s="9" t="e">
        <f t="shared" ca="1" si="28"/>
        <v>#VALUE!</v>
      </c>
      <c r="L94" s="9" t="e">
        <f t="shared" ca="1" si="29"/>
        <v>#VALUE!</v>
      </c>
      <c r="M94" s="9" t="e">
        <f t="shared" ca="1" si="21"/>
        <v>#VALUE!</v>
      </c>
      <c r="N94" s="8"/>
      <c r="O94" s="8"/>
      <c r="Q94" s="8"/>
      <c r="R94" s="12">
        <f t="shared" si="25"/>
        <v>0</v>
      </c>
      <c r="S94" s="8" t="str">
        <f t="shared" si="26"/>
        <v/>
      </c>
      <c r="T94" s="9" t="str">
        <f t="shared" ca="1" si="27"/>
        <v/>
      </c>
      <c r="U94" s="9" t="e">
        <f t="shared" ca="1" si="20"/>
        <v>#VALUE!</v>
      </c>
    </row>
    <row r="95" spans="1:21" ht="19.95" customHeight="1" x14ac:dyDescent="0.3">
      <c r="A95" s="10">
        <v>99</v>
      </c>
      <c r="B95" s="12"/>
      <c r="C95" s="8"/>
      <c r="D95" s="8"/>
      <c r="E95" s="9">
        <v>0.48125000000000001</v>
      </c>
      <c r="F95" s="9"/>
      <c r="G95" s="9" t="str">
        <f t="shared" ca="1" si="22"/>
        <v/>
      </c>
      <c r="H95" s="9" t="str">
        <f t="shared" ca="1" si="23"/>
        <v/>
      </c>
      <c r="I95" s="8" t="str">
        <f t="shared" ca="1" si="24"/>
        <v/>
      </c>
      <c r="J95" s="8" t="str">
        <f t="shared" si="30"/>
        <v/>
      </c>
      <c r="K95" s="9" t="e">
        <f t="shared" ca="1" si="28"/>
        <v>#VALUE!</v>
      </c>
      <c r="L95" s="9" t="e">
        <f t="shared" ca="1" si="29"/>
        <v>#VALUE!</v>
      </c>
      <c r="M95" s="9" t="e">
        <f t="shared" ca="1" si="21"/>
        <v>#VALUE!</v>
      </c>
      <c r="N95" s="8"/>
      <c r="O95" s="8"/>
      <c r="Q95" s="8"/>
      <c r="R95" s="12">
        <f t="shared" si="25"/>
        <v>0</v>
      </c>
      <c r="S95" s="8" t="str">
        <f t="shared" si="26"/>
        <v/>
      </c>
      <c r="T95" s="9" t="str">
        <f t="shared" ca="1" si="27"/>
        <v/>
      </c>
      <c r="U95" s="9" t="e">
        <f t="shared" ca="1" si="20"/>
        <v>#VALUE!</v>
      </c>
    </row>
    <row r="96" spans="1:21" ht="19.95" customHeight="1" x14ac:dyDescent="0.3">
      <c r="A96" s="10">
        <v>100</v>
      </c>
      <c r="B96" s="12"/>
      <c r="C96" s="8"/>
      <c r="D96" s="8"/>
      <c r="E96" s="9">
        <v>0.48194444444444401</v>
      </c>
      <c r="F96" s="9"/>
      <c r="G96" s="9" t="str">
        <f t="shared" ca="1" si="22"/>
        <v/>
      </c>
      <c r="H96" s="9" t="str">
        <f t="shared" ca="1" si="23"/>
        <v/>
      </c>
      <c r="I96" s="8" t="str">
        <f t="shared" ca="1" si="24"/>
        <v/>
      </c>
      <c r="J96" s="8" t="str">
        <f t="shared" si="30"/>
        <v/>
      </c>
      <c r="K96" s="9" t="e">
        <f t="shared" ca="1" si="28"/>
        <v>#VALUE!</v>
      </c>
      <c r="L96" s="9" t="e">
        <f t="shared" ca="1" si="29"/>
        <v>#VALUE!</v>
      </c>
      <c r="M96" s="9" t="e">
        <f t="shared" ca="1" si="21"/>
        <v>#VALUE!</v>
      </c>
      <c r="N96" s="8"/>
      <c r="O96" s="8"/>
      <c r="Q96" s="8"/>
      <c r="R96" s="12">
        <f t="shared" si="25"/>
        <v>0</v>
      </c>
      <c r="S96" s="8" t="str">
        <f t="shared" si="26"/>
        <v/>
      </c>
      <c r="T96" s="9" t="str">
        <f t="shared" ca="1" si="27"/>
        <v/>
      </c>
      <c r="U96" s="9" t="e">
        <f t="shared" ca="1" si="20"/>
        <v>#VALUE!</v>
      </c>
    </row>
    <row r="97" spans="1:21" ht="19.95" customHeight="1" x14ac:dyDescent="0.3">
      <c r="A97" s="10"/>
      <c r="B97" s="12"/>
      <c r="C97" s="8"/>
      <c r="D97" s="8"/>
      <c r="E97" s="9">
        <v>0.48263888888888901</v>
      </c>
      <c r="F97" s="9"/>
      <c r="G97" s="9" t="str">
        <f t="shared" ca="1" si="22"/>
        <v/>
      </c>
      <c r="H97" s="9" t="str">
        <f t="shared" ca="1" si="23"/>
        <v/>
      </c>
      <c r="I97" s="8" t="str">
        <f t="shared" ca="1" si="24"/>
        <v/>
      </c>
      <c r="J97" s="8" t="str">
        <f t="shared" si="30"/>
        <v/>
      </c>
      <c r="K97" s="9" t="e">
        <f t="shared" ca="1" si="28"/>
        <v>#VALUE!</v>
      </c>
      <c r="L97" s="9" t="e">
        <f t="shared" ca="1" si="29"/>
        <v>#VALUE!</v>
      </c>
      <c r="M97" s="9" t="e">
        <f t="shared" ca="1" si="21"/>
        <v>#VALUE!</v>
      </c>
      <c r="N97" s="8"/>
      <c r="O97" s="8"/>
      <c r="Q97" s="8"/>
      <c r="R97" s="12">
        <f t="shared" si="25"/>
        <v>0</v>
      </c>
      <c r="S97" s="8" t="str">
        <f t="shared" si="26"/>
        <v/>
      </c>
      <c r="T97" s="9" t="str">
        <f t="shared" ca="1" si="27"/>
        <v/>
      </c>
      <c r="U97" s="9" t="e">
        <f t="shared" ca="1" si="20"/>
        <v>#VALUE!</v>
      </c>
    </row>
    <row r="98" spans="1:21" ht="19.95" customHeight="1" x14ac:dyDescent="0.3">
      <c r="A98" s="10"/>
      <c r="B98" s="12"/>
      <c r="C98" s="8"/>
      <c r="D98" s="8"/>
      <c r="E98" s="9">
        <v>0.483333333333333</v>
      </c>
      <c r="F98" s="9"/>
      <c r="G98" s="9" t="str">
        <f t="shared" ref="G98:G100" ca="1" si="31">IF(F98&lt;&gt;"",IF(G98="",NOW(),G98),"")</f>
        <v/>
      </c>
      <c r="H98" s="9" t="str">
        <f t="shared" ref="H98:H100" ca="1" si="32">IF(G98="","",G98-E98)</f>
        <v/>
      </c>
      <c r="I98" s="8" t="str">
        <f t="shared" ref="I98:I100" ca="1" si="33">IF(H98="","",RANK(H98,H$2:H$171,1))</f>
        <v/>
      </c>
      <c r="J98" s="8" t="str">
        <f t="shared" si="30"/>
        <v/>
      </c>
      <c r="K98" s="9" t="e">
        <f t="shared" ca="1" si="28"/>
        <v>#VALUE!</v>
      </c>
      <c r="L98" s="9" t="e">
        <f t="shared" ca="1" si="29"/>
        <v>#VALUE!</v>
      </c>
      <c r="M98" s="9" t="e">
        <f t="shared" ca="1" si="21"/>
        <v>#VALUE!</v>
      </c>
      <c r="N98" s="8"/>
      <c r="O98" s="8"/>
      <c r="Q98" s="8"/>
      <c r="R98" s="12">
        <f t="shared" ref="R98:R100" si="34">_xlfn.XLOOKUP(Q98,A:A,B:B,"")</f>
        <v>0</v>
      </c>
      <c r="S98" s="8" t="str">
        <f t="shared" ref="S98:S100" si="35">_xlfn.XLOOKUP(R98,B:B,C:C,"")</f>
        <v/>
      </c>
      <c r="T98" s="9" t="str">
        <f t="shared" ca="1" si="27"/>
        <v/>
      </c>
      <c r="U98" s="9" t="e">
        <f t="shared" ca="1" si="20"/>
        <v>#VALUE!</v>
      </c>
    </row>
    <row r="99" spans="1:21" ht="19.95" customHeight="1" x14ac:dyDescent="0.3">
      <c r="A99" s="10"/>
      <c r="B99" s="12"/>
      <c r="C99" s="8"/>
      <c r="D99" s="8"/>
      <c r="E99" s="9">
        <v>0.484027777777778</v>
      </c>
      <c r="F99" s="9"/>
      <c r="G99" s="9" t="str">
        <f t="shared" ca="1" si="31"/>
        <v/>
      </c>
      <c r="H99" s="9" t="str">
        <f t="shared" ca="1" si="32"/>
        <v/>
      </c>
      <c r="I99" s="8" t="str">
        <f t="shared" ca="1" si="33"/>
        <v/>
      </c>
      <c r="J99" s="8" t="str">
        <f t="shared" si="30"/>
        <v/>
      </c>
      <c r="K99" s="9" t="e">
        <f t="shared" ca="1" si="28"/>
        <v>#VALUE!</v>
      </c>
      <c r="L99" s="9" t="e">
        <f t="shared" ref="L99:L100" ca="1" si="36">K99+L98</f>
        <v>#VALUE!</v>
      </c>
      <c r="M99" s="9" t="e">
        <f t="shared" ca="1" si="21"/>
        <v>#VALUE!</v>
      </c>
      <c r="N99" s="8"/>
      <c r="O99" s="8"/>
      <c r="Q99" s="8"/>
      <c r="R99" s="12">
        <f t="shared" si="34"/>
        <v>0</v>
      </c>
      <c r="S99" s="8" t="str">
        <f t="shared" si="35"/>
        <v/>
      </c>
      <c r="T99" s="9" t="str">
        <f t="shared" ca="1" si="27"/>
        <v/>
      </c>
      <c r="U99" s="9" t="e">
        <f t="shared" ca="1" si="20"/>
        <v>#VALUE!</v>
      </c>
    </row>
    <row r="100" spans="1:21" ht="19.95" customHeight="1" x14ac:dyDescent="0.3">
      <c r="A100" s="10"/>
      <c r="B100" s="12"/>
      <c r="C100" s="8"/>
      <c r="D100" s="8"/>
      <c r="E100" s="9">
        <v>0.484722222222222</v>
      </c>
      <c r="F100" s="9"/>
      <c r="G100" s="9" t="str">
        <f t="shared" ca="1" si="31"/>
        <v/>
      </c>
      <c r="H100" s="9" t="str">
        <f t="shared" ca="1" si="32"/>
        <v/>
      </c>
      <c r="I100" s="8" t="str">
        <f t="shared" ca="1" si="33"/>
        <v/>
      </c>
      <c r="J100" s="8" t="str">
        <f t="shared" si="30"/>
        <v/>
      </c>
      <c r="K100" s="9" t="e">
        <f t="shared" ca="1" si="28"/>
        <v>#VALUE!</v>
      </c>
      <c r="L100" s="9" t="e">
        <f t="shared" ca="1" si="36"/>
        <v>#VALUE!</v>
      </c>
      <c r="M100" s="9" t="e">
        <f t="shared" ca="1" si="21"/>
        <v>#VALUE!</v>
      </c>
      <c r="N100" s="8"/>
      <c r="O100" s="8"/>
      <c r="Q100" s="8"/>
      <c r="R100" s="12">
        <f t="shared" si="34"/>
        <v>0</v>
      </c>
      <c r="S100" s="8" t="str">
        <f t="shared" si="35"/>
        <v/>
      </c>
      <c r="T100" s="9" t="str">
        <f t="shared" ca="1" si="27"/>
        <v/>
      </c>
      <c r="U100" s="9" t="e">
        <f t="shared" ca="1" si="20"/>
        <v>#VALUE!</v>
      </c>
    </row>
    <row r="101" spans="1:21" x14ac:dyDescent="0.3">
      <c r="E101" s="1"/>
      <c r="F101" s="1"/>
      <c r="G101" s="1"/>
      <c r="H101" s="1"/>
      <c r="K101" s="1"/>
      <c r="L101" s="1"/>
      <c r="M101" s="1"/>
      <c r="T101" s="1"/>
      <c r="U101" s="1" t="str">
        <f t="shared" ref="U101:U120" si="37">IF(M101="","",T101-L101)</f>
        <v/>
      </c>
    </row>
    <row r="102" spans="1:21" x14ac:dyDescent="0.3">
      <c r="E102" s="1"/>
      <c r="F102" s="1"/>
      <c r="G102" s="1"/>
      <c r="H102" s="1"/>
      <c r="K102" s="1"/>
      <c r="L102" s="1"/>
      <c r="M102" s="1"/>
      <c r="T102" s="1"/>
      <c r="U102" s="1" t="str">
        <f t="shared" si="37"/>
        <v/>
      </c>
    </row>
    <row r="103" spans="1:21" x14ac:dyDescent="0.3">
      <c r="E103" s="1"/>
      <c r="F103" s="1"/>
      <c r="G103" s="1"/>
      <c r="H103" s="1"/>
      <c r="K103" s="1"/>
      <c r="L103" s="1"/>
      <c r="M103" s="1"/>
      <c r="T103" s="1"/>
      <c r="U103" s="1" t="str">
        <f t="shared" si="37"/>
        <v/>
      </c>
    </row>
    <row r="104" spans="1:21" x14ac:dyDescent="0.3">
      <c r="E104" s="1"/>
      <c r="F104" s="1"/>
      <c r="G104" s="1"/>
      <c r="H104" s="1"/>
      <c r="K104" s="1"/>
      <c r="L104" s="1"/>
      <c r="M104" s="1"/>
      <c r="T104" s="1"/>
      <c r="U104" s="1" t="str">
        <f t="shared" si="37"/>
        <v/>
      </c>
    </row>
    <row r="105" spans="1:21" x14ac:dyDescent="0.3">
      <c r="E105" s="1"/>
      <c r="F105" s="1"/>
      <c r="G105" s="1"/>
      <c r="H105" s="1"/>
      <c r="K105" s="1"/>
      <c r="L105" s="1"/>
      <c r="M105" s="1"/>
      <c r="T105" s="1"/>
      <c r="U105" s="1" t="str">
        <f t="shared" si="37"/>
        <v/>
      </c>
    </row>
    <row r="106" spans="1:21" x14ac:dyDescent="0.3">
      <c r="E106" s="1"/>
      <c r="F106" s="1"/>
      <c r="G106" s="1"/>
      <c r="H106" s="1"/>
      <c r="K106" s="1"/>
      <c r="L106" s="1"/>
      <c r="M106" s="1"/>
      <c r="T106" s="1"/>
      <c r="U106" s="1" t="str">
        <f t="shared" si="37"/>
        <v/>
      </c>
    </row>
    <row r="107" spans="1:21" x14ac:dyDescent="0.3">
      <c r="E107" s="1"/>
      <c r="F107" s="1"/>
      <c r="G107" s="1"/>
      <c r="H107" s="1"/>
      <c r="K107" s="1"/>
      <c r="L107" s="1"/>
      <c r="M107" s="1"/>
      <c r="T107" s="1"/>
      <c r="U107" s="1" t="str">
        <f t="shared" si="37"/>
        <v/>
      </c>
    </row>
    <row r="108" spans="1:21" x14ac:dyDescent="0.3">
      <c r="E108" s="1"/>
      <c r="F108" s="1"/>
      <c r="G108" s="1"/>
      <c r="H108" s="1"/>
      <c r="K108" s="1"/>
      <c r="L108" s="1"/>
      <c r="M108" s="1"/>
      <c r="T108" s="1"/>
      <c r="U108" s="1" t="str">
        <f t="shared" si="37"/>
        <v/>
      </c>
    </row>
    <row r="109" spans="1:21" x14ac:dyDescent="0.3">
      <c r="E109" s="1"/>
      <c r="F109" s="1"/>
      <c r="G109" s="1"/>
      <c r="H109" s="1"/>
      <c r="K109" s="1"/>
      <c r="L109" s="1"/>
      <c r="M109" s="1"/>
      <c r="T109" s="1"/>
      <c r="U109" s="1" t="str">
        <f t="shared" si="37"/>
        <v/>
      </c>
    </row>
    <row r="110" spans="1:21" x14ac:dyDescent="0.3">
      <c r="E110" s="1"/>
      <c r="F110" s="1"/>
      <c r="G110" s="1"/>
      <c r="H110" s="1"/>
      <c r="K110" s="1"/>
      <c r="L110" s="1"/>
      <c r="M110" s="1"/>
      <c r="T110" s="1"/>
      <c r="U110" s="1" t="str">
        <f t="shared" si="37"/>
        <v/>
      </c>
    </row>
    <row r="111" spans="1:21" x14ac:dyDescent="0.3">
      <c r="E111" s="1"/>
      <c r="F111" s="1"/>
      <c r="G111" s="1"/>
      <c r="H111" s="1"/>
      <c r="K111" s="1"/>
      <c r="L111" s="1"/>
      <c r="M111" s="1"/>
      <c r="T111" s="1"/>
      <c r="U111" s="1" t="str">
        <f t="shared" si="37"/>
        <v/>
      </c>
    </row>
    <row r="112" spans="1:21" x14ac:dyDescent="0.3">
      <c r="E112" s="1"/>
      <c r="F112" s="1"/>
      <c r="G112" s="1"/>
      <c r="H112" s="1"/>
      <c r="K112" s="1"/>
      <c r="L112" s="1"/>
      <c r="M112" s="1"/>
      <c r="T112" s="1"/>
      <c r="U112" s="1" t="str">
        <f t="shared" si="37"/>
        <v/>
      </c>
    </row>
    <row r="113" spans="5:21" x14ac:dyDescent="0.3">
      <c r="E113" s="1"/>
      <c r="F113" s="1"/>
      <c r="G113" s="1"/>
      <c r="H113" s="1"/>
      <c r="K113" s="1"/>
      <c r="L113" s="1"/>
      <c r="M113" s="1"/>
      <c r="T113" s="1"/>
      <c r="U113" s="1" t="str">
        <f t="shared" si="37"/>
        <v/>
      </c>
    </row>
    <row r="114" spans="5:21" x14ac:dyDescent="0.3">
      <c r="E114" s="1"/>
      <c r="F114" s="1"/>
      <c r="G114" s="1"/>
      <c r="H114" s="1"/>
      <c r="K114" s="1"/>
      <c r="L114" s="1"/>
      <c r="M114" s="1"/>
      <c r="T114" s="1"/>
      <c r="U114" s="1" t="str">
        <f t="shared" si="37"/>
        <v/>
      </c>
    </row>
    <row r="115" spans="5:21" x14ac:dyDescent="0.3">
      <c r="E115" s="1"/>
      <c r="F115" s="1"/>
      <c r="G115" s="1"/>
      <c r="H115" s="1"/>
      <c r="K115" s="1"/>
      <c r="L115" s="1"/>
      <c r="M115" s="1"/>
      <c r="T115" s="1"/>
      <c r="U115" s="1" t="str">
        <f t="shared" si="37"/>
        <v/>
      </c>
    </row>
    <row r="116" spans="5:21" x14ac:dyDescent="0.3">
      <c r="E116" s="1"/>
      <c r="F116" s="1"/>
      <c r="G116" s="1"/>
      <c r="H116" s="1"/>
      <c r="I116" s="4"/>
      <c r="K116" s="1"/>
      <c r="L116" s="1"/>
      <c r="M116" s="1"/>
      <c r="T116" s="1"/>
      <c r="U116" s="1" t="str">
        <f t="shared" si="37"/>
        <v/>
      </c>
    </row>
    <row r="117" spans="5:21" x14ac:dyDescent="0.3">
      <c r="E117" s="1"/>
      <c r="F117" s="1"/>
      <c r="G117" s="1"/>
      <c r="H117" s="1"/>
      <c r="I117" s="4"/>
      <c r="K117" s="1"/>
      <c r="L117" s="1"/>
      <c r="M117" s="1"/>
      <c r="T117" s="1"/>
      <c r="U117" s="1" t="str">
        <f t="shared" si="37"/>
        <v/>
      </c>
    </row>
    <row r="118" spans="5:21" x14ac:dyDescent="0.3">
      <c r="E118" s="1"/>
      <c r="F118" s="1"/>
      <c r="G118" s="1"/>
      <c r="H118" s="1"/>
      <c r="I118" s="4"/>
      <c r="K118" s="1"/>
      <c r="L118" s="1"/>
      <c r="M118" s="1"/>
      <c r="T118" s="1"/>
      <c r="U118" s="1" t="str">
        <f t="shared" si="37"/>
        <v/>
      </c>
    </row>
    <row r="119" spans="5:21" x14ac:dyDescent="0.3">
      <c r="E119" s="1"/>
      <c r="F119" s="1"/>
      <c r="G119" s="1"/>
      <c r="H119" s="1"/>
      <c r="I119" s="4"/>
      <c r="K119" s="1"/>
      <c r="L119" s="1"/>
      <c r="M119" s="1"/>
      <c r="T119" s="1"/>
      <c r="U119" s="1" t="str">
        <f t="shared" si="37"/>
        <v/>
      </c>
    </row>
    <row r="120" spans="5:21" x14ac:dyDescent="0.3">
      <c r="E120" s="1"/>
      <c r="F120" s="1"/>
      <c r="G120" s="1"/>
      <c r="H120" s="1"/>
      <c r="I120" s="4"/>
      <c r="K120" s="1"/>
      <c r="L120" s="1"/>
      <c r="M120" s="1"/>
      <c r="T120" s="1"/>
      <c r="U120" s="1" t="str">
        <f t="shared" si="37"/>
        <v/>
      </c>
    </row>
    <row r="121" spans="5:21" x14ac:dyDescent="0.3">
      <c r="E121" s="1"/>
      <c r="F121" s="1"/>
      <c r="G121" s="1"/>
      <c r="H121" s="1"/>
      <c r="K121" s="1"/>
      <c r="L121" s="1"/>
      <c r="U121" s="1"/>
    </row>
    <row r="122" spans="5:21" x14ac:dyDescent="0.3">
      <c r="E122" s="1"/>
      <c r="F122" s="1"/>
      <c r="G122" s="1"/>
      <c r="H122" s="1"/>
      <c r="K122" s="1"/>
      <c r="L122" s="1"/>
      <c r="U122" s="1"/>
    </row>
    <row r="123" spans="5:21" x14ac:dyDescent="0.3">
      <c r="E123" s="1"/>
      <c r="F123" s="1"/>
      <c r="G123" s="1"/>
      <c r="H123" s="1"/>
      <c r="K123" s="1"/>
      <c r="L123" s="1"/>
      <c r="U123" s="1"/>
    </row>
    <row r="124" spans="5:21" x14ac:dyDescent="0.3">
      <c r="E124" s="1"/>
      <c r="F124" s="1"/>
      <c r="G124" s="1"/>
      <c r="H124" s="1"/>
      <c r="K124" s="1"/>
      <c r="L124" s="1"/>
      <c r="U124" s="1"/>
    </row>
    <row r="125" spans="5:21" x14ac:dyDescent="0.3">
      <c r="E125" s="1"/>
      <c r="F125" s="1"/>
      <c r="G125" s="1"/>
      <c r="H125" s="1"/>
      <c r="K125" s="1"/>
      <c r="L125" s="1"/>
      <c r="U125" s="1"/>
    </row>
    <row r="126" spans="5:21" x14ac:dyDescent="0.3">
      <c r="E126" s="1"/>
      <c r="F126" s="1"/>
      <c r="G126" s="1"/>
      <c r="H126" s="1"/>
      <c r="K126" s="1"/>
      <c r="L126" s="1"/>
      <c r="U126" s="1"/>
    </row>
    <row r="127" spans="5:21" x14ac:dyDescent="0.3">
      <c r="E127" s="1"/>
      <c r="F127" s="1"/>
      <c r="G127" s="1"/>
      <c r="H127" s="1"/>
      <c r="K127" s="1"/>
      <c r="L127" s="1"/>
      <c r="U127" s="1"/>
    </row>
    <row r="128" spans="5:21" x14ac:dyDescent="0.3">
      <c r="E128" s="1"/>
      <c r="F128" s="1"/>
      <c r="G128" s="1"/>
      <c r="H128" s="1"/>
      <c r="K128" s="1"/>
      <c r="L128" s="1"/>
      <c r="U128" s="1"/>
    </row>
    <row r="129" spans="5:21" x14ac:dyDescent="0.3">
      <c r="E129" s="1"/>
      <c r="F129" s="1"/>
      <c r="G129" s="1"/>
      <c r="H129" s="1"/>
      <c r="K129" s="1"/>
      <c r="L129" s="1"/>
      <c r="U129" s="1"/>
    </row>
    <row r="130" spans="5:21" x14ac:dyDescent="0.3">
      <c r="E130" s="1"/>
      <c r="F130" s="1"/>
      <c r="G130" s="1"/>
      <c r="H130" s="1"/>
      <c r="K130" s="1"/>
      <c r="L130" s="1"/>
      <c r="U130" s="1"/>
    </row>
    <row r="131" spans="5:21" x14ac:dyDescent="0.3">
      <c r="E131" s="1"/>
      <c r="F131" s="1"/>
      <c r="G131" s="1"/>
      <c r="H131" s="1"/>
      <c r="K131" s="1"/>
      <c r="L131" s="1"/>
      <c r="U131" s="1"/>
    </row>
    <row r="132" spans="5:21" x14ac:dyDescent="0.3">
      <c r="E132" s="1"/>
      <c r="F132" s="1"/>
      <c r="G132" s="1"/>
      <c r="H132" s="1"/>
      <c r="K132" s="1"/>
      <c r="L132" s="1"/>
      <c r="U132" s="1"/>
    </row>
    <row r="133" spans="5:21" x14ac:dyDescent="0.3">
      <c r="E133" s="1"/>
      <c r="F133" s="1"/>
      <c r="G133" s="1"/>
      <c r="H133" s="1"/>
      <c r="K133" s="1"/>
      <c r="L133" s="1"/>
      <c r="U133" s="1"/>
    </row>
    <row r="134" spans="5:21" x14ac:dyDescent="0.3">
      <c r="E134" s="1"/>
      <c r="F134" s="1"/>
      <c r="G134" s="1"/>
      <c r="H134" s="1"/>
      <c r="K134" s="1"/>
      <c r="L134" s="1"/>
      <c r="U134" s="1"/>
    </row>
    <row r="135" spans="5:21" x14ac:dyDescent="0.3">
      <c r="E135" s="1"/>
      <c r="F135" s="1"/>
      <c r="G135" s="1"/>
      <c r="H135" s="1"/>
      <c r="K135" s="1"/>
      <c r="L135" s="1"/>
      <c r="U135" s="1"/>
    </row>
    <row r="136" spans="5:21" x14ac:dyDescent="0.3">
      <c r="E136" s="1"/>
      <c r="F136" s="1"/>
      <c r="G136" s="1"/>
      <c r="H136" s="1"/>
      <c r="K136" s="1"/>
      <c r="L136" s="1"/>
      <c r="U136" s="1"/>
    </row>
    <row r="137" spans="5:21" x14ac:dyDescent="0.3">
      <c r="E137" s="1"/>
      <c r="F137" s="1"/>
      <c r="G137" s="1"/>
      <c r="H137" s="1"/>
      <c r="K137" s="1"/>
      <c r="L137" s="1"/>
      <c r="U137" s="1"/>
    </row>
    <row r="138" spans="5:21" x14ac:dyDescent="0.3">
      <c r="E138" s="1"/>
      <c r="F138" s="1"/>
      <c r="G138" s="1"/>
      <c r="H138" s="1"/>
      <c r="K138" s="1"/>
      <c r="L138" s="1"/>
      <c r="U138" s="1"/>
    </row>
    <row r="139" spans="5:21" x14ac:dyDescent="0.3">
      <c r="E139" s="1"/>
      <c r="F139" s="1"/>
      <c r="G139" s="1"/>
      <c r="H139" s="1"/>
      <c r="K139" s="1"/>
      <c r="L139" s="1"/>
      <c r="U139" s="1"/>
    </row>
    <row r="140" spans="5:21" x14ac:dyDescent="0.3">
      <c r="E140" s="1"/>
      <c r="F140" s="1"/>
      <c r="G140" s="1"/>
      <c r="H140" s="1"/>
      <c r="K140" s="1"/>
      <c r="L140" s="1"/>
      <c r="U140" s="1"/>
    </row>
    <row r="141" spans="5:21" x14ac:dyDescent="0.3">
      <c r="E141" s="1"/>
      <c r="F141" s="1"/>
      <c r="G141" s="1"/>
      <c r="H141" s="1"/>
      <c r="K141" s="1"/>
      <c r="L141" s="1"/>
      <c r="U141" s="1"/>
    </row>
    <row r="142" spans="5:21" x14ac:dyDescent="0.3">
      <c r="E142" s="1"/>
      <c r="F142" s="1"/>
      <c r="G142" s="1"/>
      <c r="H142" s="1"/>
      <c r="K142" s="1"/>
      <c r="L142" s="1"/>
      <c r="U142" s="1"/>
    </row>
    <row r="143" spans="5:21" x14ac:dyDescent="0.3">
      <c r="E143" s="1"/>
      <c r="F143" s="1"/>
      <c r="G143" s="1"/>
      <c r="H143" s="5"/>
      <c r="K143" s="1"/>
      <c r="L143" s="1"/>
      <c r="U143" s="1"/>
    </row>
    <row r="144" spans="5:21" x14ac:dyDescent="0.3">
      <c r="E144" s="1"/>
      <c r="F144" s="1"/>
      <c r="G144" s="1"/>
      <c r="H144" s="5"/>
      <c r="K144" s="1"/>
      <c r="L144" s="1"/>
      <c r="U144" s="1"/>
    </row>
    <row r="145" spans="5:21" x14ac:dyDescent="0.3">
      <c r="E145" s="1"/>
      <c r="F145" s="1"/>
      <c r="G145" s="1"/>
      <c r="H145" s="5"/>
      <c r="K145" s="1"/>
      <c r="L145" s="1"/>
      <c r="U145" s="1"/>
    </row>
    <row r="146" spans="5:21" x14ac:dyDescent="0.3">
      <c r="E146" s="1"/>
      <c r="F146" s="1"/>
      <c r="G146" s="1"/>
      <c r="H146" s="5"/>
      <c r="K146" s="1"/>
      <c r="L146" s="1"/>
      <c r="U146" s="1"/>
    </row>
    <row r="147" spans="5:21" x14ac:dyDescent="0.3">
      <c r="E147" s="1"/>
      <c r="F147" s="1"/>
      <c r="G147" s="1"/>
      <c r="H147" s="5"/>
      <c r="K147" s="1"/>
      <c r="L147" s="1"/>
      <c r="U147" s="1"/>
    </row>
    <row r="148" spans="5:21" x14ac:dyDescent="0.3">
      <c r="E148" s="1"/>
      <c r="F148" s="1"/>
      <c r="G148" s="1"/>
      <c r="H148" s="5"/>
      <c r="K148" s="1"/>
      <c r="L148" s="1"/>
      <c r="U148" s="1"/>
    </row>
    <row r="149" spans="5:21" x14ac:dyDescent="0.3">
      <c r="E149" s="1"/>
      <c r="F149" s="1"/>
      <c r="G149" s="1"/>
      <c r="H149" s="5"/>
      <c r="K149" s="1"/>
      <c r="L149" s="1"/>
      <c r="U149" s="1"/>
    </row>
    <row r="150" spans="5:21" x14ac:dyDescent="0.3">
      <c r="E150" s="1"/>
      <c r="F150" s="1"/>
      <c r="G150" s="1"/>
      <c r="H150" s="5"/>
      <c r="K150" s="1"/>
      <c r="L150" s="1"/>
      <c r="U150" s="1"/>
    </row>
    <row r="151" spans="5:21" x14ac:dyDescent="0.3">
      <c r="E151" s="1"/>
      <c r="F151" s="1"/>
      <c r="G151" s="1"/>
      <c r="H151" s="5"/>
      <c r="K151" s="1"/>
      <c r="L151" s="1"/>
      <c r="U151" s="1"/>
    </row>
    <row r="152" spans="5:21" x14ac:dyDescent="0.3">
      <c r="E152" s="1"/>
      <c r="F152" s="1"/>
      <c r="G152" s="1"/>
      <c r="H152" s="5"/>
      <c r="K152" s="1"/>
      <c r="L152" s="1"/>
      <c r="U152" s="1"/>
    </row>
    <row r="153" spans="5:21" x14ac:dyDescent="0.3">
      <c r="E153" s="1"/>
      <c r="F153" s="1"/>
      <c r="G153" s="1"/>
      <c r="H153" s="5"/>
      <c r="K153" s="1"/>
      <c r="L153" s="1"/>
      <c r="U153" s="1"/>
    </row>
    <row r="154" spans="5:21" x14ac:dyDescent="0.3">
      <c r="E154" s="1"/>
      <c r="F154" s="1"/>
      <c r="G154" s="1"/>
      <c r="H154" s="5"/>
      <c r="K154" s="1"/>
      <c r="L154" s="1"/>
      <c r="U154" s="1"/>
    </row>
    <row r="155" spans="5:21" x14ac:dyDescent="0.3">
      <c r="E155" s="1"/>
      <c r="F155" s="1"/>
      <c r="G155" s="1"/>
      <c r="H155" s="5"/>
      <c r="K155" s="1"/>
      <c r="L155" s="1"/>
      <c r="U155" s="1"/>
    </row>
    <row r="156" spans="5:21" x14ac:dyDescent="0.3">
      <c r="E156" s="1"/>
      <c r="F156" s="1"/>
      <c r="G156" s="1"/>
      <c r="H156" s="5"/>
      <c r="K156" s="1"/>
      <c r="L156" s="1"/>
      <c r="U156" s="1"/>
    </row>
    <row r="157" spans="5:21" x14ac:dyDescent="0.3">
      <c r="E157" s="1"/>
      <c r="F157" s="1"/>
      <c r="G157" s="1"/>
      <c r="H157" s="5"/>
      <c r="K157" s="1"/>
      <c r="L157" s="1"/>
      <c r="U157" s="1"/>
    </row>
    <row r="158" spans="5:21" x14ac:dyDescent="0.3">
      <c r="E158" s="1"/>
      <c r="F158" s="1"/>
      <c r="G158" s="1"/>
      <c r="H158" s="5"/>
      <c r="K158" s="1"/>
      <c r="L158" s="1"/>
      <c r="U158" s="1"/>
    </row>
    <row r="159" spans="5:21" x14ac:dyDescent="0.3">
      <c r="E159" s="1"/>
      <c r="F159" s="1"/>
      <c r="G159" s="1"/>
      <c r="H159" s="5"/>
      <c r="K159" s="1"/>
      <c r="L159" s="1"/>
      <c r="U159" s="1"/>
    </row>
    <row r="160" spans="5:21" x14ac:dyDescent="0.3">
      <c r="E160" s="1"/>
      <c r="F160" s="1"/>
      <c r="G160" s="1"/>
      <c r="H160" s="5"/>
      <c r="K160" s="1"/>
      <c r="L160" s="1"/>
      <c r="U160" s="1"/>
    </row>
    <row r="161" spans="5:21" x14ac:dyDescent="0.3">
      <c r="E161" s="1"/>
      <c r="F161" s="1"/>
      <c r="G161" s="1"/>
      <c r="H161" s="5"/>
      <c r="K161" s="1"/>
      <c r="L161" s="1"/>
      <c r="U161" s="1"/>
    </row>
    <row r="162" spans="5:21" x14ac:dyDescent="0.3">
      <c r="E162" s="1"/>
      <c r="F162" s="1"/>
      <c r="G162" s="1"/>
      <c r="H162" s="5"/>
      <c r="K162" s="1"/>
      <c r="L162" s="1"/>
      <c r="U162" s="1"/>
    </row>
    <row r="163" spans="5:21" x14ac:dyDescent="0.3">
      <c r="E163" s="1"/>
      <c r="F163" s="1"/>
      <c r="G163" s="1"/>
      <c r="H163" s="5"/>
      <c r="K163" s="1"/>
      <c r="L163" s="1"/>
      <c r="U163" s="1"/>
    </row>
    <row r="164" spans="5:21" x14ac:dyDescent="0.3">
      <c r="E164" s="1"/>
      <c r="F164" s="1"/>
      <c r="G164" s="1"/>
      <c r="H164" s="5"/>
      <c r="K164" s="1"/>
      <c r="L164" s="1"/>
      <c r="U164" s="1"/>
    </row>
    <row r="165" spans="5:21" x14ac:dyDescent="0.3">
      <c r="E165" s="1"/>
      <c r="F165" s="1"/>
      <c r="G165" s="1"/>
      <c r="H165" s="5"/>
      <c r="K165" s="1"/>
      <c r="L165" s="1"/>
      <c r="U165" s="1"/>
    </row>
    <row r="166" spans="5:21" x14ac:dyDescent="0.3">
      <c r="E166" s="1"/>
      <c r="F166" s="1"/>
      <c r="G166" s="1"/>
      <c r="H166" s="5"/>
      <c r="K166" s="1"/>
      <c r="L166" s="1"/>
      <c r="U166" s="1"/>
    </row>
    <row r="167" spans="5:21" x14ac:dyDescent="0.3">
      <c r="E167" s="1"/>
      <c r="F167" s="1"/>
      <c r="G167" s="1"/>
      <c r="H167" s="5"/>
      <c r="K167" s="1"/>
      <c r="L167" s="1"/>
      <c r="U167" s="1"/>
    </row>
    <row r="168" spans="5:21" x14ac:dyDescent="0.3">
      <c r="E168" s="1"/>
      <c r="F168" s="1"/>
      <c r="G168" s="1"/>
      <c r="H168" s="5"/>
      <c r="K168" s="1"/>
      <c r="L168" s="1"/>
      <c r="U168" s="1"/>
    </row>
    <row r="169" spans="5:21" x14ac:dyDescent="0.3">
      <c r="E169" s="1"/>
      <c r="F169" s="1"/>
      <c r="G169" s="1"/>
      <c r="H169" s="5"/>
      <c r="K169" s="1"/>
      <c r="L169" s="1"/>
      <c r="U169" s="1"/>
    </row>
    <row r="170" spans="5:21" x14ac:dyDescent="0.3">
      <c r="E170" s="1"/>
      <c r="F170" s="1"/>
      <c r="G170" s="1"/>
      <c r="H170" s="5"/>
      <c r="K170" s="1"/>
      <c r="L170" s="5"/>
      <c r="U170" s="1"/>
    </row>
    <row r="171" spans="5:21" x14ac:dyDescent="0.3">
      <c r="E171" s="1"/>
      <c r="F171" s="1"/>
      <c r="G171" s="1"/>
      <c r="H171" s="5"/>
      <c r="K171" s="1"/>
      <c r="L171" s="5"/>
      <c r="U171" s="1"/>
    </row>
  </sheetData>
  <autoFilter ref="A1:T171" xr:uid="{00000000-0001-0000-0000-000000000000}">
    <sortState xmlns:xlrd2="http://schemas.microsoft.com/office/spreadsheetml/2017/richdata2" ref="A2:T171">
      <sortCondition ref="I1:I171"/>
    </sortState>
  </autoFilter>
  <sortState xmlns:xlrd2="http://schemas.microsoft.com/office/spreadsheetml/2017/richdata2" ref="Q1:S1">
    <sortCondition ref="S1"/>
  </sortState>
  <pageMargins left="0.23622047244094491" right="0.23622047244094491" top="0.74803149606299213" bottom="0.74803149606299213" header="0.31496062992125984" footer="0.31496062992125984"/>
  <pageSetup paperSize="9" scale="24" fitToHeight="0" orientation="portrait" r:id="rId1"/>
  <rowBreaks count="2" manualBreakCount="2">
    <brk id="34" max="20" man="1"/>
    <brk id="56" max="20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6ED5-FAD6-4362-82CA-DFE18ADD3F6E}">
  <dimension ref="A1:F80"/>
  <sheetViews>
    <sheetView view="pageBreakPreview" zoomScale="60" zoomScaleNormal="100" workbookViewId="0">
      <selection activeCell="R60" sqref="R60:R64"/>
    </sheetView>
  </sheetViews>
  <sheetFormatPr baseColWidth="10" defaultRowHeight="14.4" x14ac:dyDescent="0.3"/>
  <cols>
    <col min="2" max="2" width="22.5546875" bestFit="1" customWidth="1"/>
    <col min="3" max="3" width="9" bestFit="1" customWidth="1"/>
    <col min="4" max="4" width="17" bestFit="1" customWidth="1"/>
    <col min="5" max="5" width="12" bestFit="1" customWidth="1"/>
    <col min="6" max="6" width="19.88671875" bestFit="1" customWidth="1"/>
  </cols>
  <sheetData>
    <row r="1" spans="1:6" ht="43.2" x14ac:dyDescent="0.3">
      <c r="A1" s="21" t="s">
        <v>105</v>
      </c>
      <c r="B1" s="21" t="s">
        <v>0</v>
      </c>
      <c r="C1" s="21" t="s">
        <v>1</v>
      </c>
      <c r="D1" s="21" t="s">
        <v>50</v>
      </c>
      <c r="E1" s="22" t="s">
        <v>8</v>
      </c>
      <c r="F1" s="22" t="s">
        <v>106</v>
      </c>
    </row>
    <row r="2" spans="1:6" ht="19.95" customHeight="1" x14ac:dyDescent="0.3">
      <c r="A2" s="10">
        <v>1</v>
      </c>
      <c r="B2" s="12" t="s">
        <v>34</v>
      </c>
      <c r="C2" s="8">
        <v>2</v>
      </c>
      <c r="D2" s="8" t="s">
        <v>51</v>
      </c>
      <c r="E2" s="9">
        <v>0.41666666666666669</v>
      </c>
      <c r="F2" s="7"/>
    </row>
    <row r="3" spans="1:6" ht="19.95" customHeight="1" x14ac:dyDescent="0.3">
      <c r="A3" s="10">
        <v>2</v>
      </c>
      <c r="B3" s="12" t="s">
        <v>13</v>
      </c>
      <c r="C3" s="8">
        <v>1</v>
      </c>
      <c r="D3" s="8" t="s">
        <v>51</v>
      </c>
      <c r="E3" s="9">
        <v>0.41736111111111113</v>
      </c>
      <c r="F3" s="7"/>
    </row>
    <row r="4" spans="1:6" ht="19.95" customHeight="1" x14ac:dyDescent="0.3">
      <c r="A4" s="10">
        <v>3</v>
      </c>
      <c r="B4" s="12" t="s">
        <v>17</v>
      </c>
      <c r="C4" s="8">
        <v>2</v>
      </c>
      <c r="D4" s="8" t="s">
        <v>51</v>
      </c>
      <c r="E4" s="9">
        <v>0.41805555555555601</v>
      </c>
      <c r="F4" s="7"/>
    </row>
    <row r="5" spans="1:6" ht="19.95" customHeight="1" x14ac:dyDescent="0.3">
      <c r="A5" s="10">
        <v>4</v>
      </c>
      <c r="B5" s="12" t="s">
        <v>24</v>
      </c>
      <c r="C5" s="8">
        <v>3</v>
      </c>
      <c r="D5" s="8" t="s">
        <v>51</v>
      </c>
      <c r="E5" s="9">
        <v>0.41875000000000001</v>
      </c>
      <c r="F5" s="7"/>
    </row>
    <row r="6" spans="1:6" ht="19.95" customHeight="1" x14ac:dyDescent="0.3">
      <c r="A6" s="10">
        <v>5</v>
      </c>
      <c r="B6" s="12" t="s">
        <v>21</v>
      </c>
      <c r="C6" s="8">
        <v>3</v>
      </c>
      <c r="D6" s="8" t="s">
        <v>51</v>
      </c>
      <c r="E6" s="9">
        <v>0.41944444444444401</v>
      </c>
      <c r="F6" s="7"/>
    </row>
    <row r="7" spans="1:6" ht="19.95" customHeight="1" x14ac:dyDescent="0.3">
      <c r="A7" s="10">
        <v>6</v>
      </c>
      <c r="B7" s="12" t="s">
        <v>54</v>
      </c>
      <c r="C7" s="8">
        <v>3</v>
      </c>
      <c r="D7" s="8" t="s">
        <v>51</v>
      </c>
      <c r="E7" s="9">
        <v>0.42013888888888901</v>
      </c>
      <c r="F7" s="7"/>
    </row>
    <row r="8" spans="1:6" ht="19.95" customHeight="1" x14ac:dyDescent="0.3">
      <c r="A8" s="10">
        <v>7</v>
      </c>
      <c r="B8" s="12" t="s">
        <v>25</v>
      </c>
      <c r="C8" s="8">
        <v>4</v>
      </c>
      <c r="D8" s="8" t="s">
        <v>51</v>
      </c>
      <c r="E8" s="9">
        <v>0.42083333333333334</v>
      </c>
      <c r="F8" s="7"/>
    </row>
    <row r="9" spans="1:6" ht="19.95" customHeight="1" x14ac:dyDescent="0.3">
      <c r="A9" s="10">
        <v>8</v>
      </c>
      <c r="B9" s="12"/>
      <c r="C9" s="8"/>
      <c r="D9" s="8"/>
      <c r="E9" s="9"/>
      <c r="F9" s="7"/>
    </row>
    <row r="10" spans="1:6" ht="19.95" customHeight="1" x14ac:dyDescent="0.3">
      <c r="A10" s="10">
        <v>9</v>
      </c>
      <c r="B10" s="12"/>
      <c r="C10" s="8"/>
      <c r="D10" s="8"/>
      <c r="E10" s="9"/>
      <c r="F10" s="7"/>
    </row>
    <row r="11" spans="1:6" ht="19.95" customHeight="1" x14ac:dyDescent="0.3">
      <c r="A11" s="10">
        <v>11</v>
      </c>
      <c r="B11" s="12" t="s">
        <v>43</v>
      </c>
      <c r="C11" s="8" t="s">
        <v>44</v>
      </c>
      <c r="D11" s="8" t="s">
        <v>37</v>
      </c>
      <c r="E11" s="9">
        <v>0.422916666666667</v>
      </c>
      <c r="F11" s="7"/>
    </row>
    <row r="12" spans="1:6" ht="19.95" customHeight="1" x14ac:dyDescent="0.3">
      <c r="A12" s="10">
        <v>12</v>
      </c>
      <c r="B12" s="12" t="s">
        <v>46</v>
      </c>
      <c r="C12" s="8" t="s">
        <v>44</v>
      </c>
      <c r="D12" s="8" t="s">
        <v>37</v>
      </c>
      <c r="E12" s="9">
        <v>0.42361111111111099</v>
      </c>
      <c r="F12" s="7"/>
    </row>
    <row r="13" spans="1:6" ht="19.95" customHeight="1" x14ac:dyDescent="0.3">
      <c r="A13" s="10">
        <v>13</v>
      </c>
      <c r="B13" s="12" t="s">
        <v>83</v>
      </c>
      <c r="C13" s="8" t="s">
        <v>44</v>
      </c>
      <c r="D13" s="8" t="s">
        <v>56</v>
      </c>
      <c r="E13" s="9">
        <v>0.42430555555555599</v>
      </c>
      <c r="F13" s="7"/>
    </row>
    <row r="14" spans="1:6" ht="19.95" customHeight="1" x14ac:dyDescent="0.3">
      <c r="A14" s="10">
        <v>14</v>
      </c>
      <c r="B14" s="12" t="s">
        <v>27</v>
      </c>
      <c r="C14" s="8" t="s">
        <v>44</v>
      </c>
      <c r="D14" s="8" t="s">
        <v>95</v>
      </c>
      <c r="E14" s="9">
        <v>0.42499999999999999</v>
      </c>
      <c r="F14" s="7"/>
    </row>
    <row r="15" spans="1:6" ht="19.95" customHeight="1" x14ac:dyDescent="0.3">
      <c r="A15" s="10">
        <v>15</v>
      </c>
      <c r="B15" s="12" t="s">
        <v>48</v>
      </c>
      <c r="C15" s="8" t="s">
        <v>44</v>
      </c>
      <c r="D15" s="8" t="s">
        <v>78</v>
      </c>
      <c r="E15" s="9">
        <v>0.42569444444444399</v>
      </c>
      <c r="F15" s="7"/>
    </row>
    <row r="16" spans="1:6" ht="19.95" customHeight="1" x14ac:dyDescent="0.3">
      <c r="A16" s="10">
        <v>16</v>
      </c>
      <c r="B16" s="12" t="s">
        <v>100</v>
      </c>
      <c r="C16" s="8" t="s">
        <v>44</v>
      </c>
      <c r="D16" s="8" t="s">
        <v>81</v>
      </c>
      <c r="E16" s="9">
        <v>0.42638888888888898</v>
      </c>
      <c r="F16" s="7"/>
    </row>
    <row r="17" spans="1:6" ht="19.95" customHeight="1" x14ac:dyDescent="0.3">
      <c r="A17" s="10">
        <v>17</v>
      </c>
      <c r="B17" s="12" t="s">
        <v>12</v>
      </c>
      <c r="C17" s="8" t="s">
        <v>32</v>
      </c>
      <c r="D17" s="8" t="s">
        <v>51</v>
      </c>
      <c r="E17" s="9">
        <v>0.42708333333333298</v>
      </c>
      <c r="F17" s="7"/>
    </row>
    <row r="18" spans="1:6" ht="19.95" customHeight="1" x14ac:dyDescent="0.3">
      <c r="A18" s="10">
        <v>18</v>
      </c>
      <c r="B18" s="12" t="s">
        <v>11</v>
      </c>
      <c r="C18" s="8" t="s">
        <v>32</v>
      </c>
      <c r="D18" s="8" t="s">
        <v>80</v>
      </c>
      <c r="E18" s="9">
        <v>0.42777777777777798</v>
      </c>
      <c r="F18" s="7"/>
    </row>
    <row r="19" spans="1:6" ht="19.95" customHeight="1" x14ac:dyDescent="0.3">
      <c r="A19" s="10">
        <v>19</v>
      </c>
      <c r="B19" s="12" t="s">
        <v>42</v>
      </c>
      <c r="C19" s="8" t="s">
        <v>32</v>
      </c>
      <c r="D19" s="8" t="s">
        <v>56</v>
      </c>
      <c r="E19" s="9">
        <v>0.42847222222222198</v>
      </c>
      <c r="F19" s="7"/>
    </row>
    <row r="20" spans="1:6" ht="19.95" customHeight="1" x14ac:dyDescent="0.3">
      <c r="A20" s="10">
        <v>20</v>
      </c>
      <c r="B20" s="12" t="s">
        <v>89</v>
      </c>
      <c r="C20" s="8" t="s">
        <v>32</v>
      </c>
      <c r="D20" s="8" t="s">
        <v>90</v>
      </c>
      <c r="E20" s="9">
        <v>0.42916666666666697</v>
      </c>
      <c r="F20" s="7"/>
    </row>
    <row r="21" spans="1:6" ht="19.95" customHeight="1" x14ac:dyDescent="0.3">
      <c r="A21" s="10">
        <v>21</v>
      </c>
      <c r="B21" s="12" t="s">
        <v>92</v>
      </c>
      <c r="C21" s="8" t="s">
        <v>32</v>
      </c>
      <c r="D21" s="8" t="s">
        <v>93</v>
      </c>
      <c r="E21" s="9">
        <v>0.42986111111111103</v>
      </c>
      <c r="F21" s="7"/>
    </row>
    <row r="22" spans="1:6" ht="19.95" customHeight="1" x14ac:dyDescent="0.3">
      <c r="A22" s="10">
        <v>22</v>
      </c>
      <c r="B22" s="12"/>
      <c r="C22" s="8"/>
      <c r="D22" s="8"/>
      <c r="E22" s="9"/>
      <c r="F22" s="7"/>
    </row>
    <row r="23" spans="1:6" ht="19.95" customHeight="1" x14ac:dyDescent="0.3">
      <c r="A23" s="10">
        <v>23</v>
      </c>
      <c r="B23" s="12" t="s">
        <v>31</v>
      </c>
      <c r="C23" s="8" t="s">
        <v>37</v>
      </c>
      <c r="D23" s="8" t="s">
        <v>37</v>
      </c>
      <c r="E23" s="9">
        <v>0.43125000000000002</v>
      </c>
      <c r="F23" s="7"/>
    </row>
    <row r="24" spans="1:6" ht="19.95" customHeight="1" x14ac:dyDescent="0.3">
      <c r="A24" s="10">
        <v>24</v>
      </c>
      <c r="B24" s="12" t="s">
        <v>29</v>
      </c>
      <c r="C24" s="8" t="s">
        <v>37</v>
      </c>
      <c r="D24" s="8" t="s">
        <v>56</v>
      </c>
      <c r="E24" s="9">
        <v>0.43194444444444402</v>
      </c>
      <c r="F24" s="7"/>
    </row>
    <row r="25" spans="1:6" ht="19.95" customHeight="1" x14ac:dyDescent="0.3">
      <c r="A25" s="10">
        <v>25</v>
      </c>
      <c r="B25" s="12" t="s">
        <v>45</v>
      </c>
      <c r="C25" s="8" t="s">
        <v>37</v>
      </c>
      <c r="D25" s="8" t="s">
        <v>37</v>
      </c>
      <c r="E25" s="9">
        <v>0.43263888888888902</v>
      </c>
      <c r="F25" s="7"/>
    </row>
    <row r="26" spans="1:6" ht="19.95" customHeight="1" x14ac:dyDescent="0.3">
      <c r="A26" s="10">
        <v>26</v>
      </c>
      <c r="B26" s="12" t="s">
        <v>85</v>
      </c>
      <c r="C26" s="8" t="s">
        <v>37</v>
      </c>
      <c r="D26" s="8" t="s">
        <v>37</v>
      </c>
      <c r="E26" s="9">
        <v>0.43333333333333302</v>
      </c>
      <c r="F26" s="7"/>
    </row>
    <row r="27" spans="1:6" ht="19.95" customHeight="1" x14ac:dyDescent="0.3">
      <c r="A27" s="10">
        <v>27</v>
      </c>
      <c r="B27" s="12" t="s">
        <v>86</v>
      </c>
      <c r="C27" s="8" t="s">
        <v>37</v>
      </c>
      <c r="D27" s="8" t="s">
        <v>56</v>
      </c>
      <c r="E27" s="9">
        <v>0.43402777777777801</v>
      </c>
      <c r="F27" s="7"/>
    </row>
    <row r="28" spans="1:6" ht="19.95" customHeight="1" x14ac:dyDescent="0.3">
      <c r="A28" s="10">
        <v>28</v>
      </c>
      <c r="B28" s="12" t="s">
        <v>87</v>
      </c>
      <c r="C28" s="8" t="s">
        <v>37</v>
      </c>
      <c r="D28" s="8" t="s">
        <v>37</v>
      </c>
      <c r="E28" s="9">
        <v>0.43472222222222201</v>
      </c>
      <c r="F28" s="7"/>
    </row>
    <row r="29" spans="1:6" ht="19.95" customHeight="1" x14ac:dyDescent="0.3">
      <c r="A29" s="23">
        <v>29</v>
      </c>
      <c r="B29" s="24" t="s">
        <v>88</v>
      </c>
      <c r="C29" s="25" t="s">
        <v>37</v>
      </c>
      <c r="D29" s="25" t="s">
        <v>37</v>
      </c>
      <c r="E29" s="26">
        <v>0.43541666666666701</v>
      </c>
      <c r="F29" s="7"/>
    </row>
    <row r="30" spans="1:6" ht="19.95" customHeight="1" x14ac:dyDescent="0.3">
      <c r="A30" s="10">
        <v>30</v>
      </c>
      <c r="B30" s="12" t="s">
        <v>96</v>
      </c>
      <c r="C30" s="8" t="s">
        <v>37</v>
      </c>
      <c r="D30" s="8" t="s">
        <v>37</v>
      </c>
      <c r="E30" s="9">
        <v>0.43611111111111101</v>
      </c>
      <c r="F30" s="7"/>
    </row>
    <row r="31" spans="1:6" ht="19.95" customHeight="1" x14ac:dyDescent="0.3">
      <c r="A31" s="10">
        <v>31</v>
      </c>
      <c r="B31" s="19" t="s">
        <v>28</v>
      </c>
      <c r="C31" s="20" t="s">
        <v>37</v>
      </c>
      <c r="D31" s="20" t="s">
        <v>95</v>
      </c>
      <c r="E31" s="9">
        <v>0.436805555555556</v>
      </c>
      <c r="F31" s="7"/>
    </row>
    <row r="32" spans="1:6" ht="19.95" customHeight="1" x14ac:dyDescent="0.3">
      <c r="A32" s="10">
        <v>32</v>
      </c>
      <c r="B32" s="12" t="s">
        <v>104</v>
      </c>
      <c r="C32" s="8" t="s">
        <v>37</v>
      </c>
      <c r="D32" s="8" t="s">
        <v>37</v>
      </c>
      <c r="E32" s="9">
        <v>0.4375</v>
      </c>
      <c r="F32" s="7"/>
    </row>
    <row r="33" spans="1:6" ht="19.95" customHeight="1" x14ac:dyDescent="0.3">
      <c r="A33" s="10">
        <v>33</v>
      </c>
      <c r="B33" s="12"/>
      <c r="C33" s="8"/>
      <c r="D33" s="8"/>
      <c r="E33" s="9"/>
      <c r="F33" s="7"/>
    </row>
    <row r="34" spans="1:6" ht="19.95" customHeight="1" x14ac:dyDescent="0.3">
      <c r="A34" s="10">
        <v>34</v>
      </c>
      <c r="B34" s="12"/>
      <c r="C34" s="8"/>
      <c r="D34" s="8"/>
      <c r="E34" s="9"/>
      <c r="F34" s="7"/>
    </row>
    <row r="35" spans="1:6" ht="19.95" customHeight="1" x14ac:dyDescent="0.3">
      <c r="A35" s="10">
        <v>36</v>
      </c>
      <c r="B35" s="12"/>
      <c r="C35" s="8"/>
      <c r="D35" s="8"/>
      <c r="E35" s="9"/>
      <c r="F35" s="7"/>
    </row>
    <row r="36" spans="1:6" ht="19.95" customHeight="1" x14ac:dyDescent="0.3">
      <c r="A36" s="10">
        <v>37</v>
      </c>
      <c r="B36" s="12" t="s">
        <v>55</v>
      </c>
      <c r="C36" s="8">
        <v>3</v>
      </c>
      <c r="D36" s="8" t="s">
        <v>56</v>
      </c>
      <c r="E36" s="9">
        <v>0.44027777777777799</v>
      </c>
      <c r="F36" s="7"/>
    </row>
    <row r="37" spans="1:6" ht="19.95" customHeight="1" x14ac:dyDescent="0.3">
      <c r="A37" s="10">
        <v>38</v>
      </c>
      <c r="B37" s="12" t="s">
        <v>67</v>
      </c>
      <c r="C37" s="8">
        <v>3</v>
      </c>
      <c r="D37" s="8" t="s">
        <v>68</v>
      </c>
      <c r="E37" s="9">
        <v>0.44097222222222199</v>
      </c>
      <c r="F37" s="7"/>
    </row>
    <row r="38" spans="1:6" ht="19.95" customHeight="1" x14ac:dyDescent="0.3">
      <c r="A38" s="10">
        <v>39</v>
      </c>
      <c r="B38" s="12" t="s">
        <v>57</v>
      </c>
      <c r="C38" s="8">
        <v>3</v>
      </c>
      <c r="D38" s="8" t="s">
        <v>56</v>
      </c>
      <c r="E38" s="9">
        <v>0.44166666666666698</v>
      </c>
      <c r="F38" s="7"/>
    </row>
    <row r="39" spans="1:6" ht="19.95" customHeight="1" x14ac:dyDescent="0.3">
      <c r="A39" s="10">
        <v>41</v>
      </c>
      <c r="B39" s="12" t="s">
        <v>59</v>
      </c>
      <c r="C39" s="8">
        <v>3</v>
      </c>
      <c r="D39" s="8" t="s">
        <v>60</v>
      </c>
      <c r="E39" s="9">
        <v>0.44236111111111098</v>
      </c>
      <c r="F39" s="7"/>
    </row>
    <row r="40" spans="1:6" ht="19.95" customHeight="1" x14ac:dyDescent="0.3">
      <c r="A40" s="10">
        <v>42</v>
      </c>
      <c r="B40" s="12" t="s">
        <v>61</v>
      </c>
      <c r="C40" s="8">
        <v>3</v>
      </c>
      <c r="D40" s="8" t="s">
        <v>62</v>
      </c>
      <c r="E40" s="9">
        <v>0.44305555555555498</v>
      </c>
      <c r="F40" s="7"/>
    </row>
    <row r="41" spans="1:6" ht="19.95" customHeight="1" x14ac:dyDescent="0.3">
      <c r="A41" s="10">
        <v>43</v>
      </c>
      <c r="B41" s="12" t="s">
        <v>23</v>
      </c>
      <c r="C41" s="8">
        <v>3</v>
      </c>
      <c r="D41" s="8" t="s">
        <v>56</v>
      </c>
      <c r="E41" s="9">
        <v>0.44374999999999998</v>
      </c>
      <c r="F41" s="7"/>
    </row>
    <row r="42" spans="1:6" ht="19.95" customHeight="1" x14ac:dyDescent="0.3">
      <c r="A42" s="10">
        <v>44</v>
      </c>
      <c r="B42" s="12" t="s">
        <v>63</v>
      </c>
      <c r="C42" s="8">
        <v>3</v>
      </c>
      <c r="D42" s="8" t="s">
        <v>64</v>
      </c>
      <c r="E42" s="9">
        <v>0.44444444444444398</v>
      </c>
      <c r="F42" s="7"/>
    </row>
    <row r="43" spans="1:6" ht="19.95" customHeight="1" x14ac:dyDescent="0.3">
      <c r="A43" s="10">
        <v>46</v>
      </c>
      <c r="B43" s="12" t="s">
        <v>65</v>
      </c>
      <c r="C43" s="8">
        <v>3</v>
      </c>
      <c r="D43" s="8" t="s">
        <v>56</v>
      </c>
      <c r="E43" s="9">
        <v>0.44513888888888897</v>
      </c>
      <c r="F43" s="7"/>
    </row>
    <row r="44" spans="1:6" ht="19.95" customHeight="1" x14ac:dyDescent="0.3">
      <c r="A44" s="10">
        <v>47</v>
      </c>
      <c r="B44" s="12" t="s">
        <v>19</v>
      </c>
      <c r="C44" s="8">
        <v>3</v>
      </c>
      <c r="D44" s="8" t="s">
        <v>62</v>
      </c>
      <c r="E44" s="9">
        <v>0.44583333333333303</v>
      </c>
      <c r="F44" s="7"/>
    </row>
    <row r="45" spans="1:6" ht="19.95" customHeight="1" x14ac:dyDescent="0.3">
      <c r="A45" s="10">
        <v>48</v>
      </c>
      <c r="B45" s="12"/>
      <c r="C45" s="8"/>
      <c r="D45" s="8"/>
      <c r="E45" s="9"/>
      <c r="F45" s="7"/>
    </row>
    <row r="46" spans="1:6" ht="19.95" customHeight="1" x14ac:dyDescent="0.3">
      <c r="A46" s="10">
        <v>49</v>
      </c>
      <c r="B46" s="12"/>
      <c r="C46" s="8"/>
      <c r="D46" s="8"/>
      <c r="E46" s="9"/>
      <c r="F46" s="7"/>
    </row>
    <row r="47" spans="1:6" ht="19.95" customHeight="1" x14ac:dyDescent="0.3">
      <c r="A47" s="10">
        <v>50</v>
      </c>
      <c r="B47" s="12"/>
      <c r="C47" s="8"/>
      <c r="D47" s="8"/>
      <c r="E47" s="9"/>
      <c r="F47" s="7"/>
    </row>
    <row r="48" spans="1:6" ht="19.95" customHeight="1" x14ac:dyDescent="0.3">
      <c r="A48" s="10">
        <v>51</v>
      </c>
      <c r="B48" s="12" t="s">
        <v>16</v>
      </c>
      <c r="C48" s="8">
        <v>2</v>
      </c>
      <c r="D48" s="8" t="s">
        <v>64</v>
      </c>
      <c r="E48" s="9">
        <v>0.44861111111111102</v>
      </c>
      <c r="F48" s="7"/>
    </row>
    <row r="49" spans="1:6" ht="19.95" customHeight="1" x14ac:dyDescent="0.3">
      <c r="A49" s="10">
        <v>52</v>
      </c>
      <c r="B49" s="12" t="s">
        <v>47</v>
      </c>
      <c r="C49" s="8">
        <v>2</v>
      </c>
      <c r="D49" s="8" t="s">
        <v>77</v>
      </c>
      <c r="E49" s="9">
        <v>0.44930555555555601</v>
      </c>
      <c r="F49" s="7"/>
    </row>
    <row r="50" spans="1:6" ht="19.95" customHeight="1" x14ac:dyDescent="0.3">
      <c r="A50" s="10">
        <v>53</v>
      </c>
      <c r="B50" s="12" t="s">
        <v>91</v>
      </c>
      <c r="C50" s="8">
        <v>2</v>
      </c>
      <c r="D50" s="8" t="s">
        <v>78</v>
      </c>
      <c r="E50" s="9">
        <v>0.45</v>
      </c>
      <c r="F50" s="7"/>
    </row>
    <row r="51" spans="1:6" ht="19.95" customHeight="1" x14ac:dyDescent="0.3">
      <c r="A51" s="10">
        <v>54</v>
      </c>
      <c r="B51" s="12" t="s">
        <v>15</v>
      </c>
      <c r="C51" s="8">
        <v>2</v>
      </c>
      <c r="D51" s="8" t="s">
        <v>79</v>
      </c>
      <c r="E51" s="9">
        <v>0.45069444444444401</v>
      </c>
      <c r="F51" s="7"/>
    </row>
    <row r="52" spans="1:6" ht="19.95" customHeight="1" x14ac:dyDescent="0.3">
      <c r="A52" s="10">
        <v>55</v>
      </c>
      <c r="B52" s="12" t="s">
        <v>69</v>
      </c>
      <c r="C52" s="8">
        <v>2</v>
      </c>
      <c r="D52" s="8" t="s">
        <v>70</v>
      </c>
      <c r="E52" s="9">
        <v>0.45138888888888901</v>
      </c>
      <c r="F52" s="7"/>
    </row>
    <row r="53" spans="1:6" ht="19.95" customHeight="1" x14ac:dyDescent="0.3">
      <c r="A53" s="10">
        <v>56</v>
      </c>
      <c r="B53" s="12" t="s">
        <v>71</v>
      </c>
      <c r="C53" s="8">
        <v>2</v>
      </c>
      <c r="D53" s="8" t="s">
        <v>60</v>
      </c>
      <c r="E53" s="9">
        <v>0.452083333333333</v>
      </c>
      <c r="F53" s="7"/>
    </row>
    <row r="54" spans="1:6" ht="19.95" customHeight="1" x14ac:dyDescent="0.3">
      <c r="A54" s="10">
        <v>57</v>
      </c>
      <c r="B54" s="12" t="s">
        <v>72</v>
      </c>
      <c r="C54" s="8">
        <v>2</v>
      </c>
      <c r="D54" s="8" t="s">
        <v>73</v>
      </c>
      <c r="E54" s="9">
        <v>0.452777777777778</v>
      </c>
      <c r="F54" s="7"/>
    </row>
    <row r="55" spans="1:6" ht="19.95" customHeight="1" x14ac:dyDescent="0.3">
      <c r="A55" s="10">
        <v>58</v>
      </c>
      <c r="B55" s="12" t="s">
        <v>33</v>
      </c>
      <c r="C55" s="8">
        <v>2</v>
      </c>
      <c r="D55" s="8" t="s">
        <v>60</v>
      </c>
      <c r="E55" s="9">
        <v>0.453472222222222</v>
      </c>
      <c r="F55" s="7"/>
    </row>
    <row r="56" spans="1:6" ht="19.95" customHeight="1" x14ac:dyDescent="0.3">
      <c r="A56" s="10">
        <v>59</v>
      </c>
      <c r="B56" s="12" t="s">
        <v>74</v>
      </c>
      <c r="C56" s="8">
        <v>2</v>
      </c>
      <c r="D56" s="8" t="s">
        <v>73</v>
      </c>
      <c r="E56" s="9">
        <v>0.454166666666667</v>
      </c>
      <c r="F56" s="7"/>
    </row>
    <row r="57" spans="1:6" ht="19.95" customHeight="1" x14ac:dyDescent="0.3">
      <c r="A57" s="10">
        <v>60</v>
      </c>
      <c r="B57" s="12" t="s">
        <v>82</v>
      </c>
      <c r="C57" s="8">
        <v>2</v>
      </c>
      <c r="D57" s="8" t="s">
        <v>60</v>
      </c>
      <c r="E57" s="9">
        <v>0.45486111111111099</v>
      </c>
      <c r="F57" s="7"/>
    </row>
    <row r="58" spans="1:6" ht="19.95" customHeight="1" x14ac:dyDescent="0.3">
      <c r="A58" s="10">
        <v>61</v>
      </c>
      <c r="B58" s="12"/>
      <c r="C58" s="8"/>
      <c r="D58" s="8"/>
      <c r="E58" s="9"/>
      <c r="F58" s="7"/>
    </row>
    <row r="59" spans="1:6" ht="19.95" customHeight="1" x14ac:dyDescent="0.3">
      <c r="A59" s="10">
        <v>62</v>
      </c>
      <c r="B59" s="12"/>
      <c r="C59" s="8"/>
      <c r="D59" s="8"/>
      <c r="E59" s="9"/>
      <c r="F59" s="7"/>
    </row>
    <row r="60" spans="1:6" ht="19.95" customHeight="1" x14ac:dyDescent="0.3">
      <c r="A60" s="10">
        <v>63</v>
      </c>
      <c r="B60" s="12" t="s">
        <v>94</v>
      </c>
      <c r="C60" s="8">
        <v>1</v>
      </c>
      <c r="D60" s="8" t="s">
        <v>95</v>
      </c>
      <c r="E60" s="9">
        <v>0.45694444444444399</v>
      </c>
      <c r="F60" s="7"/>
    </row>
    <row r="61" spans="1:6" ht="19.95" customHeight="1" x14ac:dyDescent="0.3">
      <c r="A61" s="10">
        <v>64</v>
      </c>
      <c r="B61" s="12" t="s">
        <v>75</v>
      </c>
      <c r="C61" s="8">
        <v>1</v>
      </c>
      <c r="D61" s="8" t="s">
        <v>76</v>
      </c>
      <c r="E61" s="9">
        <v>0.45763888888888898</v>
      </c>
      <c r="F61" s="7"/>
    </row>
    <row r="62" spans="1:6" ht="19.95" customHeight="1" x14ac:dyDescent="0.3">
      <c r="A62" s="10">
        <v>65</v>
      </c>
      <c r="B62" s="12" t="s">
        <v>14</v>
      </c>
      <c r="C62" s="8">
        <v>1</v>
      </c>
      <c r="D62" s="8" t="s">
        <v>70</v>
      </c>
      <c r="E62" s="9">
        <v>0.45833333333333298</v>
      </c>
      <c r="F62" s="7"/>
    </row>
    <row r="63" spans="1:6" ht="19.95" customHeight="1" x14ac:dyDescent="0.3">
      <c r="A63" s="23">
        <v>66</v>
      </c>
      <c r="B63" s="27" t="s">
        <v>30</v>
      </c>
      <c r="C63" s="28">
        <v>1</v>
      </c>
      <c r="D63" s="28" t="s">
        <v>66</v>
      </c>
      <c r="E63" s="9">
        <v>0.45902777777777798</v>
      </c>
      <c r="F63" s="7"/>
    </row>
    <row r="64" spans="1:6" ht="19.95" customHeight="1" x14ac:dyDescent="0.3">
      <c r="A64" s="10">
        <v>67</v>
      </c>
      <c r="B64" s="12" t="s">
        <v>49</v>
      </c>
      <c r="C64" s="8">
        <v>1</v>
      </c>
      <c r="D64" s="8" t="s">
        <v>81</v>
      </c>
      <c r="E64" s="9">
        <v>0.45972222222222198</v>
      </c>
      <c r="F64" s="7"/>
    </row>
    <row r="65" spans="1:6" ht="19.95" customHeight="1" x14ac:dyDescent="0.3">
      <c r="A65" s="10">
        <v>68</v>
      </c>
      <c r="B65" s="12" t="s">
        <v>84</v>
      </c>
      <c r="C65" s="8">
        <v>1</v>
      </c>
      <c r="D65" s="8" t="s">
        <v>64</v>
      </c>
      <c r="E65" s="9">
        <v>0.46041666666666597</v>
      </c>
      <c r="F65" s="7"/>
    </row>
    <row r="66" spans="1:6" ht="19.95" customHeight="1" x14ac:dyDescent="0.3">
      <c r="A66" s="10">
        <v>69</v>
      </c>
      <c r="B66" s="12" t="s">
        <v>99</v>
      </c>
      <c r="C66" s="8">
        <v>1</v>
      </c>
      <c r="D66" s="8" t="s">
        <v>81</v>
      </c>
      <c r="E66" s="9">
        <v>0.46111111111111103</v>
      </c>
      <c r="F66" s="7"/>
    </row>
    <row r="67" spans="1:6" ht="19.95" customHeight="1" x14ac:dyDescent="0.3">
      <c r="A67" s="10">
        <v>70</v>
      </c>
      <c r="B67" s="12"/>
      <c r="C67" s="8"/>
      <c r="D67" s="8"/>
      <c r="E67" s="9"/>
      <c r="F67" s="7"/>
    </row>
    <row r="68" spans="1:6" ht="19.95" customHeight="1" x14ac:dyDescent="0.3">
      <c r="A68" s="10">
        <v>71</v>
      </c>
      <c r="B68" s="12"/>
      <c r="C68" s="8"/>
      <c r="D68" s="8"/>
      <c r="E68" s="9"/>
      <c r="F68" s="7"/>
    </row>
    <row r="69" spans="1:6" ht="19.95" customHeight="1" x14ac:dyDescent="0.3">
      <c r="A69" s="10">
        <v>72</v>
      </c>
      <c r="B69" s="12"/>
      <c r="C69" s="8"/>
      <c r="D69" s="8"/>
      <c r="E69" s="9"/>
      <c r="F69" s="7"/>
    </row>
    <row r="70" spans="1:6" ht="19.95" customHeight="1" x14ac:dyDescent="0.3">
      <c r="A70" s="10">
        <v>73</v>
      </c>
      <c r="B70" s="12" t="s">
        <v>101</v>
      </c>
      <c r="C70" s="8">
        <v>4</v>
      </c>
      <c r="D70" s="8" t="s">
        <v>102</v>
      </c>
      <c r="E70" s="9">
        <v>0.46388888888888902</v>
      </c>
      <c r="F70" s="7"/>
    </row>
    <row r="71" spans="1:6" ht="19.95" customHeight="1" x14ac:dyDescent="0.3">
      <c r="A71" s="10">
        <v>74</v>
      </c>
      <c r="B71" s="12"/>
      <c r="C71" s="8"/>
      <c r="D71" s="8"/>
      <c r="E71" s="9"/>
      <c r="F71" s="7"/>
    </row>
    <row r="72" spans="1:6" ht="19.95" customHeight="1" x14ac:dyDescent="0.3">
      <c r="A72" s="23">
        <v>75</v>
      </c>
      <c r="B72" s="27" t="s">
        <v>52</v>
      </c>
      <c r="C72" s="28">
        <v>4</v>
      </c>
      <c r="D72" s="28" t="s">
        <v>62</v>
      </c>
      <c r="E72" s="9">
        <v>0.46527777777777801</v>
      </c>
      <c r="F72" s="7"/>
    </row>
    <row r="73" spans="1:6" ht="19.95" customHeight="1" x14ac:dyDescent="0.3">
      <c r="A73" s="10">
        <v>76</v>
      </c>
      <c r="B73" s="12" t="s">
        <v>53</v>
      </c>
      <c r="C73" s="8">
        <v>4</v>
      </c>
      <c r="D73" s="8" t="s">
        <v>70</v>
      </c>
      <c r="E73" s="9">
        <v>0.46597222222222201</v>
      </c>
      <c r="F73" s="7"/>
    </row>
    <row r="74" spans="1:6" ht="19.95" customHeight="1" x14ac:dyDescent="0.3">
      <c r="A74" s="10">
        <v>77</v>
      </c>
      <c r="B74" s="12" t="s">
        <v>58</v>
      </c>
      <c r="C74" s="8">
        <v>3</v>
      </c>
      <c r="D74" s="8" t="s">
        <v>51</v>
      </c>
      <c r="E74" s="9">
        <v>0.46666666666666701</v>
      </c>
      <c r="F74" s="7"/>
    </row>
    <row r="75" spans="1:6" ht="19.95" customHeight="1" x14ac:dyDescent="0.3">
      <c r="A75" s="10">
        <v>78</v>
      </c>
      <c r="B75" s="12" t="s">
        <v>18</v>
      </c>
      <c r="C75" s="8">
        <v>3</v>
      </c>
      <c r="D75" s="8" t="s">
        <v>51</v>
      </c>
      <c r="E75" s="9">
        <v>0.46736111111111101</v>
      </c>
      <c r="F75" s="7"/>
    </row>
    <row r="76" spans="1:6" ht="19.95" customHeight="1" x14ac:dyDescent="0.3">
      <c r="A76" s="10">
        <v>79</v>
      </c>
      <c r="B76" s="12" t="s">
        <v>22</v>
      </c>
      <c r="C76" s="8">
        <v>3</v>
      </c>
      <c r="D76" s="8" t="s">
        <v>51</v>
      </c>
      <c r="E76" s="9">
        <v>0.468055555555555</v>
      </c>
      <c r="F76" s="7"/>
    </row>
    <row r="77" spans="1:6" ht="19.95" customHeight="1" x14ac:dyDescent="0.3">
      <c r="A77" s="10">
        <v>80</v>
      </c>
      <c r="B77" s="12" t="s">
        <v>36</v>
      </c>
      <c r="C77" s="8">
        <v>3</v>
      </c>
      <c r="D77" s="8" t="s">
        <v>51</v>
      </c>
      <c r="E77" s="9">
        <v>0.46875</v>
      </c>
      <c r="F77" s="7"/>
    </row>
    <row r="78" spans="1:6" ht="19.95" customHeight="1" x14ac:dyDescent="0.3">
      <c r="A78" s="10">
        <v>81</v>
      </c>
      <c r="B78" s="12" t="s">
        <v>20</v>
      </c>
      <c r="C78" s="8">
        <v>3</v>
      </c>
      <c r="D78" s="8" t="s">
        <v>51</v>
      </c>
      <c r="E78" s="9">
        <v>0.469444444444444</v>
      </c>
      <c r="F78" s="7"/>
    </row>
    <row r="79" spans="1:6" ht="19.95" customHeight="1" x14ac:dyDescent="0.3">
      <c r="A79" s="10">
        <v>82</v>
      </c>
      <c r="B79" s="12" t="s">
        <v>35</v>
      </c>
      <c r="C79" s="8">
        <v>2</v>
      </c>
      <c r="D79" s="8" t="s">
        <v>51</v>
      </c>
      <c r="E79" s="9">
        <v>0.47013888888888899</v>
      </c>
      <c r="F79" s="7"/>
    </row>
    <row r="80" spans="1:6" ht="19.95" customHeight="1" x14ac:dyDescent="0.3">
      <c r="A80" s="10">
        <v>83</v>
      </c>
      <c r="B80" s="12" t="s">
        <v>26</v>
      </c>
      <c r="C80" s="8">
        <v>4</v>
      </c>
      <c r="D80" s="8" t="s">
        <v>51</v>
      </c>
      <c r="E80" s="9">
        <v>0.47083333333333299</v>
      </c>
      <c r="F80" s="7"/>
    </row>
  </sheetData>
  <pageMargins left="1" right="1" top="1" bottom="1" header="0.5" footer="0.5"/>
  <pageSetup paperSize="9" scale="79" orientation="portrait" r:id="rId1"/>
  <rowBreaks count="1" manualBreakCount="1">
    <brk id="39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4</vt:i4>
      </vt:variant>
    </vt:vector>
  </HeadingPairs>
  <TitlesOfParts>
    <vt:vector size="16" baseType="lpstr">
      <vt:lpstr>Classement CLM</vt:lpstr>
      <vt:lpstr>Classement V. Défi Matheysin</vt:lpstr>
      <vt:lpstr>Classement U15_16</vt:lpstr>
      <vt:lpstr>Classement U13_14</vt:lpstr>
      <vt:lpstr>Classement U4</vt:lpstr>
      <vt:lpstr>Classement U3</vt:lpstr>
      <vt:lpstr>Classemernt U2</vt:lpstr>
      <vt:lpstr>Classement U1</vt:lpstr>
      <vt:lpstr>Ecart départ avant Grimpée</vt:lpstr>
      <vt:lpstr>SAS départ Grimpée</vt:lpstr>
      <vt:lpstr>Contre-la-montre</vt:lpstr>
      <vt:lpstr>Horaires de départ CLM</vt:lpstr>
      <vt:lpstr>'Contre-la-montre'!Impression_des_titres</vt:lpstr>
      <vt:lpstr>'Horaires de départ CLM'!Impression_des_titres</vt:lpstr>
      <vt:lpstr>'Contre-la-montre'!Zone_d_impression</vt:lpstr>
      <vt:lpstr>'Ecart départ avant Grimpée'!Zone_d_impression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Bucci, Gregory</cp:lastModifiedBy>
  <cp:lastPrinted>2026-06-22T16:02:43Z</cp:lastPrinted>
  <dcterms:created xsi:type="dcterms:W3CDTF">2026-03-17T11:16:46Z</dcterms:created>
  <dcterms:modified xsi:type="dcterms:W3CDTF">2026-06-22T16:05:28Z</dcterms:modified>
</cp:coreProperties>
</file>