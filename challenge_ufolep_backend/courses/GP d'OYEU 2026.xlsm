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di\Documents\Perso\Cyclisme\CCG\GP Oyeu-Burcin\GP 2026\Course\"/>
    </mc:Choice>
  </mc:AlternateContent>
  <xr:revisionPtr revIDLastSave="0" documentId="13_ncr:1_{FCF72C1C-545A-4037-871B-FE370F5B24E6}" xr6:coauthVersionLast="47" xr6:coauthVersionMax="47" xr10:uidLastSave="{00000000-0000-0000-0000-000000000000}"/>
  <bookViews>
    <workbookView xWindow="74760" yWindow="-120" windowWidth="29040" windowHeight="15720" tabRatio="749" firstSheet="1" activeTab="1" xr2:uid="{00000000-000D-0000-FFFF-FFFF00000000}"/>
  </bookViews>
  <sheets>
    <sheet name="Données" sheetId="1" state="hidden" r:id="rId1"/>
    <sheet name="Accueil" sheetId="29" r:id="rId2"/>
    <sheet name="U1" sheetId="2" r:id="rId3"/>
    <sheet name="U2" sheetId="16" r:id="rId4"/>
    <sheet name="U3" sheetId="18" r:id="rId5"/>
    <sheet name="U4" sheetId="17" r:id="rId6"/>
    <sheet name="UFEM" sheetId="19" r:id="rId7"/>
    <sheet name="H15_16" sheetId="20" r:id="rId8"/>
    <sheet name="F15_16" sheetId="31" r:id="rId9"/>
    <sheet name="H13_14" sheetId="21" r:id="rId10"/>
    <sheet name="F13_14" sheetId="32" r:id="rId11"/>
    <sheet name="Classement U1" sheetId="3" r:id="rId12"/>
    <sheet name="Classement U2" sheetId="26" r:id="rId13"/>
    <sheet name="Classement U3" sheetId="25" r:id="rId14"/>
    <sheet name="Classement U4" sheetId="24" r:id="rId15"/>
    <sheet name="Classement UFEM" sheetId="23" r:id="rId16"/>
    <sheet name="Classement H15_16" sheetId="22" r:id="rId17"/>
    <sheet name="Classement F15_16" sheetId="34" r:id="rId18"/>
    <sheet name="Classement H13_14" sheetId="27" r:id="rId19"/>
    <sheet name="Classement F13_14" sheetId="33" r:id="rId20"/>
    <sheet name="Cartes UFOLEP" sheetId="30" r:id="rId21"/>
  </sheets>
  <definedNames>
    <definedName name="Fédérations">Données!$A$2:$A$9</definedName>
    <definedName name="Rang">Données!$F$2:$F$64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0" i="30" l="1"/>
  <c r="L9" i="30"/>
  <c r="L8" i="30"/>
  <c r="L7" i="30"/>
  <c r="L6" i="30"/>
  <c r="L5" i="30"/>
  <c r="L4" i="30"/>
  <c r="C1" i="32" l="1"/>
  <c r="C1" i="21"/>
  <c r="C1" i="31"/>
  <c r="C1" i="20"/>
  <c r="C1" i="19"/>
  <c r="C1" i="17"/>
  <c r="C1" i="18"/>
  <c r="C1" i="16"/>
  <c r="C1" i="2"/>
  <c r="F19" i="29" l="1"/>
  <c r="F17" i="29"/>
  <c r="F15" i="29"/>
  <c r="F13" i="29"/>
  <c r="C21" i="29"/>
  <c r="C19" i="29"/>
  <c r="C17" i="29"/>
  <c r="C15" i="29"/>
  <c r="L12" i="30" l="1"/>
  <c r="C13" i="29"/>
  <c r="E11" i="29" s="1"/>
</calcChain>
</file>

<file path=xl/sharedStrings.xml><?xml version="1.0" encoding="utf-8"?>
<sst xmlns="http://schemas.openxmlformats.org/spreadsheetml/2006/main" count="2196" uniqueCount="763">
  <si>
    <t>Caté</t>
  </si>
  <si>
    <t>Club</t>
  </si>
  <si>
    <t>Licence</t>
  </si>
  <si>
    <t>LE FONTANIL CYCLISME</t>
  </si>
  <si>
    <t>03851219509</t>
  </si>
  <si>
    <t>FE</t>
  </si>
  <si>
    <t>ECHIROLLES SPRINTCLUB AMICALELAIQUE</t>
  </si>
  <si>
    <t>03893325265</t>
  </si>
  <si>
    <t>3</t>
  </si>
  <si>
    <t>BOURGOIN JALLIEU VELO CLUB</t>
  </si>
  <si>
    <t>ST CLAIR DE LA TOUR ETOILE CYCLISTE</t>
  </si>
  <si>
    <t>03893254546</t>
  </si>
  <si>
    <t>2</t>
  </si>
  <si>
    <t>03893322901</t>
  </si>
  <si>
    <t>03893323406</t>
  </si>
  <si>
    <t>PONTCHARRA UNION CYCLISTE</t>
  </si>
  <si>
    <t>03893325881</t>
  </si>
  <si>
    <t>GIERES CYCLO CLUB</t>
  </si>
  <si>
    <t>03893311675</t>
  </si>
  <si>
    <t>1</t>
  </si>
  <si>
    <t>LA TRONCHE VELO SPORT</t>
  </si>
  <si>
    <t>03893317153</t>
  </si>
  <si>
    <t>03893321245</t>
  </si>
  <si>
    <t>03893264902</t>
  </si>
  <si>
    <t>03893257222</t>
  </si>
  <si>
    <t>03893295586</t>
  </si>
  <si>
    <t>03893289535</t>
  </si>
  <si>
    <t>03893289534</t>
  </si>
  <si>
    <t>03893273007</t>
  </si>
  <si>
    <t>ALPINS WHEEL TEAM</t>
  </si>
  <si>
    <t>03893257076</t>
  </si>
  <si>
    <t>03893274622</t>
  </si>
  <si>
    <t>03847325523</t>
  </si>
  <si>
    <t>03893316179</t>
  </si>
  <si>
    <t>03893251471</t>
  </si>
  <si>
    <t>03893321092</t>
  </si>
  <si>
    <t>03893254623</t>
  </si>
  <si>
    <t>03893248062</t>
  </si>
  <si>
    <t>03893268843</t>
  </si>
  <si>
    <t>03893295531</t>
  </si>
  <si>
    <t>03893290431</t>
  </si>
  <si>
    <t>RIVES UNION CYCLISTE</t>
  </si>
  <si>
    <t>03893279928</t>
  </si>
  <si>
    <t>03851219746</t>
  </si>
  <si>
    <t>03893290428</t>
  </si>
  <si>
    <t>03893316939</t>
  </si>
  <si>
    <t>03893290565</t>
  </si>
  <si>
    <t>03893311180</t>
  </si>
  <si>
    <t>03893307213</t>
  </si>
  <si>
    <t>03893318385</t>
  </si>
  <si>
    <t>03893316940</t>
  </si>
  <si>
    <t>03893285672</t>
  </si>
  <si>
    <t>03893274459</t>
  </si>
  <si>
    <t>03893314789</t>
  </si>
  <si>
    <t>03893311163</t>
  </si>
  <si>
    <t>03893312468</t>
  </si>
  <si>
    <t>03893323407</t>
  </si>
  <si>
    <t>03893311361</t>
  </si>
  <si>
    <t>03893304752</t>
  </si>
  <si>
    <t>03851223283</t>
  </si>
  <si>
    <t>03893322071</t>
  </si>
  <si>
    <t>03893290775</t>
  </si>
  <si>
    <t>VELO CLUB PONTOIS</t>
  </si>
  <si>
    <t>03893290429</t>
  </si>
  <si>
    <t>03893248388</t>
  </si>
  <si>
    <t>03893281337</t>
  </si>
  <si>
    <t>03893322208</t>
  </si>
  <si>
    <t>03893324473</t>
  </si>
  <si>
    <t>03893292246</t>
  </si>
  <si>
    <t>03893295538</t>
  </si>
  <si>
    <t>03893321446</t>
  </si>
  <si>
    <t>03893325851</t>
  </si>
  <si>
    <t>03893276217</t>
  </si>
  <si>
    <t>03893295195</t>
  </si>
  <si>
    <t>03893274456</t>
  </si>
  <si>
    <t>03893290430</t>
  </si>
  <si>
    <t>03893325841</t>
  </si>
  <si>
    <t>03893311010</t>
  </si>
  <si>
    <t>03893322035</t>
  </si>
  <si>
    <t>03893322167</t>
  </si>
  <si>
    <t>03893286440</t>
  </si>
  <si>
    <t>03893321225</t>
  </si>
  <si>
    <t>03851222474</t>
  </si>
  <si>
    <t>03893257072</t>
  </si>
  <si>
    <t>03893290433</t>
  </si>
  <si>
    <t>JE</t>
  </si>
  <si>
    <t>03893325882</t>
  </si>
  <si>
    <t>03893267377</t>
  </si>
  <si>
    <t>03893317266</t>
  </si>
  <si>
    <t>03893324474</t>
  </si>
  <si>
    <t>03893322067</t>
  </si>
  <si>
    <t>03893279879</t>
  </si>
  <si>
    <t>03893290434</t>
  </si>
  <si>
    <t>03893323402</t>
  </si>
  <si>
    <t>03893289406</t>
  </si>
  <si>
    <t>03893312509</t>
  </si>
  <si>
    <t>03893324452</t>
  </si>
  <si>
    <t>03893257104</t>
  </si>
  <si>
    <t>03893325877</t>
  </si>
  <si>
    <t>03893311358</t>
  </si>
  <si>
    <t>03893313035</t>
  </si>
  <si>
    <t>03893254528</t>
  </si>
  <si>
    <t>03893249948</t>
  </si>
  <si>
    <t>03893315449</t>
  </si>
  <si>
    <t>03893324977</t>
  </si>
  <si>
    <t>03893276218</t>
  </si>
  <si>
    <t>03893317263</t>
  </si>
  <si>
    <t>03893286972</t>
  </si>
  <si>
    <t>03893246787</t>
  </si>
  <si>
    <t>03893325337</t>
  </si>
  <si>
    <t>03893312880</t>
  </si>
  <si>
    <t>03893279896</t>
  </si>
  <si>
    <t>03893310839</t>
  </si>
  <si>
    <t>03893316180</t>
  </si>
  <si>
    <t>03893311872</t>
  </si>
  <si>
    <t>03893279880</t>
  </si>
  <si>
    <t>03893251643</t>
  </si>
  <si>
    <t>03893325873</t>
  </si>
  <si>
    <t>03893325349</t>
  </si>
  <si>
    <t>03893290013</t>
  </si>
  <si>
    <t>03893290014</t>
  </si>
  <si>
    <t>03893289569</t>
  </si>
  <si>
    <t>03893312510</t>
  </si>
  <si>
    <t>CREMIEU TEAM CYCLES WHEEL</t>
  </si>
  <si>
    <t>03893299603</t>
  </si>
  <si>
    <t>03893306657</t>
  </si>
  <si>
    <t>03893289571</t>
  </si>
  <si>
    <t>03893315902</t>
  </si>
  <si>
    <t>03893247739</t>
  </si>
  <si>
    <t>03893322279</t>
  </si>
  <si>
    <t>03893326389</t>
  </si>
  <si>
    <t>03893326510</t>
  </si>
  <si>
    <t>03893317264</t>
  </si>
  <si>
    <t>03893321253</t>
  </si>
  <si>
    <t>03893251368</t>
  </si>
  <si>
    <t>03893315903</t>
  </si>
  <si>
    <t>03893251634</t>
  </si>
  <si>
    <t>03893243958</t>
  </si>
  <si>
    <t>03893327626</t>
  </si>
  <si>
    <t>03893325512</t>
  </si>
  <si>
    <t>Dossard</t>
  </si>
  <si>
    <t>N° licence</t>
  </si>
  <si>
    <t>Nom</t>
  </si>
  <si>
    <t>Classement</t>
  </si>
  <si>
    <t>Fédération</t>
  </si>
  <si>
    <t>Département</t>
  </si>
  <si>
    <t>Fédérations</t>
  </si>
  <si>
    <t>UFOLEP</t>
  </si>
  <si>
    <t>FFC</t>
  </si>
  <si>
    <t>FSGT</t>
  </si>
  <si>
    <t>FFCT</t>
  </si>
  <si>
    <t>FFTRI</t>
  </si>
  <si>
    <t>Rang</t>
  </si>
  <si>
    <t>Obs.</t>
  </si>
  <si>
    <t>Classement 1ère catégorie UFOLEP</t>
  </si>
  <si>
    <t>Classement 2ème catégorie UFOLEP</t>
  </si>
  <si>
    <t>Classement 3ème catégorie UFOLEP</t>
  </si>
  <si>
    <t>Classement 4ème catégorie UFOLEP</t>
  </si>
  <si>
    <t>Classement Féminines UFOLEP</t>
  </si>
  <si>
    <t>Onglet à imprimer</t>
  </si>
  <si>
    <t>Onglet  imprimés</t>
  </si>
  <si>
    <t>Tous</t>
  </si>
  <si>
    <t>Dép.</t>
  </si>
  <si>
    <t>Nb total de coureurs:</t>
  </si>
  <si>
    <t>Nb inscrits:</t>
  </si>
  <si>
    <t>Obs</t>
  </si>
  <si>
    <t xml:space="preserve">Nom de la course:  </t>
  </si>
  <si>
    <t>Sexe</t>
  </si>
  <si>
    <t>Dat/naiss</t>
  </si>
  <si>
    <t>Caté d'âge</t>
  </si>
  <si>
    <t>Saison</t>
  </si>
  <si>
    <t>M</t>
  </si>
  <si>
    <t>Adulte Masculin 40/49 ans</t>
  </si>
  <si>
    <t>Nbre de 1</t>
  </si>
  <si>
    <t>Adulte Masculin 50/59 ans</t>
  </si>
  <si>
    <t>Nbre de 2</t>
  </si>
  <si>
    <t>Adulte Masculin 30/39 ans</t>
  </si>
  <si>
    <t>Nbre de 3</t>
  </si>
  <si>
    <t>Adulte Masculin 20/29 ans</t>
  </si>
  <si>
    <t>Nbre de Gsa</t>
  </si>
  <si>
    <t>Nbre de GSb</t>
  </si>
  <si>
    <t>Nbre de FEM</t>
  </si>
  <si>
    <t>Nbre de JEU</t>
  </si>
  <si>
    <t>Total</t>
  </si>
  <si>
    <t>Adulte Masculin 17/19 ans</t>
  </si>
  <si>
    <t>Adulte Masculin 60 ans et plus</t>
  </si>
  <si>
    <t>F</t>
  </si>
  <si>
    <t>Adulte Féminin 30/39 ans</t>
  </si>
  <si>
    <t>Adulte Féminin 17/29 ans</t>
  </si>
  <si>
    <t>Adulte Féminin 40 ans et plus</t>
  </si>
  <si>
    <t>Jeune Masculin 15/16 ans</t>
  </si>
  <si>
    <t>Jeune Masculin 13/14 ans</t>
  </si>
  <si>
    <t>Prénom</t>
  </si>
  <si>
    <t>Dossard
retiré</t>
  </si>
  <si>
    <t xml:space="preserve">BESCOND </t>
  </si>
  <si>
    <t>DIDIER</t>
  </si>
  <si>
    <t xml:space="preserve">BOCQUIER </t>
  </si>
  <si>
    <t>STEPHANE</t>
  </si>
  <si>
    <t xml:space="preserve">BONNEFOND </t>
  </si>
  <si>
    <t>NICOLAS</t>
  </si>
  <si>
    <t xml:space="preserve">BUSATO </t>
  </si>
  <si>
    <t>AMAURY</t>
  </si>
  <si>
    <t xml:space="preserve">CHALEAT </t>
  </si>
  <si>
    <t>PATRICK</t>
  </si>
  <si>
    <t xml:space="preserve">DERAIN </t>
  </si>
  <si>
    <t>LAURENT</t>
  </si>
  <si>
    <t xml:space="preserve">DESPESSE </t>
  </si>
  <si>
    <t>PHILIPPE</t>
  </si>
  <si>
    <t>THEO</t>
  </si>
  <si>
    <t xml:space="preserve">FEODOROF </t>
  </si>
  <si>
    <t>ARNAUD</t>
  </si>
  <si>
    <t xml:space="preserve">GLEDHILL </t>
  </si>
  <si>
    <t>THOMAS</t>
  </si>
  <si>
    <t>CEDRIC</t>
  </si>
  <si>
    <t xml:space="preserve">JOSSIC </t>
  </si>
  <si>
    <t xml:space="preserve">JOUFFROY </t>
  </si>
  <si>
    <t xml:space="preserve">LEDAC </t>
  </si>
  <si>
    <t>PIERRE</t>
  </si>
  <si>
    <t xml:space="preserve">LETREGUILLY </t>
  </si>
  <si>
    <t>VICTOR</t>
  </si>
  <si>
    <t xml:space="preserve">LOZANO </t>
  </si>
  <si>
    <t>JEAN BAPTISTE</t>
  </si>
  <si>
    <t xml:space="preserve">MAGNIER </t>
  </si>
  <si>
    <t xml:space="preserve">MATHIEU </t>
  </si>
  <si>
    <t>VALENTIN</t>
  </si>
  <si>
    <t xml:space="preserve">MAZZA </t>
  </si>
  <si>
    <t>FABRICE</t>
  </si>
  <si>
    <t xml:space="preserve">MEUNIER </t>
  </si>
  <si>
    <t xml:space="preserve">PATRICELLI </t>
  </si>
  <si>
    <t>REGIS</t>
  </si>
  <si>
    <t xml:space="preserve">PERRET </t>
  </si>
  <si>
    <t>VINCENT</t>
  </si>
  <si>
    <t xml:space="preserve">PHANON </t>
  </si>
  <si>
    <t>JEROME</t>
  </si>
  <si>
    <t xml:space="preserve">POUGET </t>
  </si>
  <si>
    <t>JULIEN</t>
  </si>
  <si>
    <t xml:space="preserve">REYMOND </t>
  </si>
  <si>
    <t>GEORGES</t>
  </si>
  <si>
    <t xml:space="preserve">RICAU </t>
  </si>
  <si>
    <t>CHARLES</t>
  </si>
  <si>
    <t xml:space="preserve">SIE </t>
  </si>
  <si>
    <t>SERGE</t>
  </si>
  <si>
    <t xml:space="preserve">SOULIERE </t>
  </si>
  <si>
    <t>DAVID</t>
  </si>
  <si>
    <t xml:space="preserve">VAUSSENAT </t>
  </si>
  <si>
    <t>MAXIME</t>
  </si>
  <si>
    <t xml:space="preserve">BEJUIS </t>
  </si>
  <si>
    <t xml:space="preserve">BERNABE </t>
  </si>
  <si>
    <t>AURELIEN</t>
  </si>
  <si>
    <t xml:space="preserve">BERNARDIN </t>
  </si>
  <si>
    <t>LOIC</t>
  </si>
  <si>
    <t xml:space="preserve">BOIN </t>
  </si>
  <si>
    <t>MICHEL</t>
  </si>
  <si>
    <t xml:space="preserve">BOURGEY </t>
  </si>
  <si>
    <t>PASCAL</t>
  </si>
  <si>
    <t xml:space="preserve">BUISSON </t>
  </si>
  <si>
    <t>GREGORY</t>
  </si>
  <si>
    <t xml:space="preserve">CANDEIAS </t>
  </si>
  <si>
    <t>DAMIEN</t>
  </si>
  <si>
    <t xml:space="preserve">CHEVIGNON </t>
  </si>
  <si>
    <t>FRANCK</t>
  </si>
  <si>
    <t>JULES</t>
  </si>
  <si>
    <t xml:space="preserve">DELECAMBRE </t>
  </si>
  <si>
    <t>YOHANN</t>
  </si>
  <si>
    <t xml:space="preserve">DIDIER </t>
  </si>
  <si>
    <t>CHRISTOPHE</t>
  </si>
  <si>
    <t xml:space="preserve">GENIN </t>
  </si>
  <si>
    <t xml:space="preserve">GLENAZ </t>
  </si>
  <si>
    <t>CELIAN</t>
  </si>
  <si>
    <t>FLORENT</t>
  </si>
  <si>
    <t xml:space="preserve">LORIGEON </t>
  </si>
  <si>
    <t>ANTOINE</t>
  </si>
  <si>
    <t xml:space="preserve">MARLETAZ </t>
  </si>
  <si>
    <t xml:space="preserve">MARTIN </t>
  </si>
  <si>
    <t>BASTIEN</t>
  </si>
  <si>
    <t>MEHDI</t>
  </si>
  <si>
    <t xml:space="preserve">NORAZ </t>
  </si>
  <si>
    <t xml:space="preserve">PARA </t>
  </si>
  <si>
    <t xml:space="preserve">PEYRE </t>
  </si>
  <si>
    <t xml:space="preserve">RAMOUSSE </t>
  </si>
  <si>
    <t xml:space="preserve">REMOND </t>
  </si>
  <si>
    <t>BRUNO</t>
  </si>
  <si>
    <t xml:space="preserve">SIGNORINO </t>
  </si>
  <si>
    <t xml:space="preserve">TROUILLET </t>
  </si>
  <si>
    <t>ERIC</t>
  </si>
  <si>
    <t>BERNARD</t>
  </si>
  <si>
    <t xml:space="preserve">YTOURNEL </t>
  </si>
  <si>
    <t>EDOUARD</t>
  </si>
  <si>
    <t xml:space="preserve">BERNARD </t>
  </si>
  <si>
    <t>ALEXIS</t>
  </si>
  <si>
    <t xml:space="preserve">BIGOT </t>
  </si>
  <si>
    <t>BENJAMIN</t>
  </si>
  <si>
    <t xml:space="preserve">BOKHOBZA </t>
  </si>
  <si>
    <t xml:space="preserve">BONGIBAULT </t>
  </si>
  <si>
    <t>GAETAN</t>
  </si>
  <si>
    <t xml:space="preserve">BUSCAYLET </t>
  </si>
  <si>
    <t xml:space="preserve">BUZENET </t>
  </si>
  <si>
    <t>MARC</t>
  </si>
  <si>
    <t xml:space="preserve">CERCLERAT </t>
  </si>
  <si>
    <t xml:space="preserve">CHARAT </t>
  </si>
  <si>
    <t>CLEMENT</t>
  </si>
  <si>
    <t xml:space="preserve">CHRISTOPH </t>
  </si>
  <si>
    <t xml:space="preserve">COLLANGES </t>
  </si>
  <si>
    <t xml:space="preserve">DESROCHES </t>
  </si>
  <si>
    <t>FLORIAN</t>
  </si>
  <si>
    <t xml:space="preserve">DURY </t>
  </si>
  <si>
    <t>ROLAND</t>
  </si>
  <si>
    <t xml:space="preserve">FOURNIER </t>
  </si>
  <si>
    <t>ALAIN</t>
  </si>
  <si>
    <t xml:space="preserve">GAFFARELLI </t>
  </si>
  <si>
    <t xml:space="preserve">GUILLERMIN </t>
  </si>
  <si>
    <t xml:space="preserve">GUY </t>
  </si>
  <si>
    <t xml:space="preserve">JALIER </t>
  </si>
  <si>
    <t>GUILLAUME</t>
  </si>
  <si>
    <t xml:space="preserve">KUNDA </t>
  </si>
  <si>
    <t>JEAN MARC</t>
  </si>
  <si>
    <t xml:space="preserve">LEDOUX </t>
  </si>
  <si>
    <t>ADRIEN</t>
  </si>
  <si>
    <t xml:space="preserve">LEONE </t>
  </si>
  <si>
    <t>MATTHIEU</t>
  </si>
  <si>
    <t xml:space="preserve">LISI </t>
  </si>
  <si>
    <t>SAMUELE</t>
  </si>
  <si>
    <t>BENOIT</t>
  </si>
  <si>
    <t>FABIEN</t>
  </si>
  <si>
    <t xml:space="preserve">LOUPIEN </t>
  </si>
  <si>
    <t xml:space="preserve">MACAUDA </t>
  </si>
  <si>
    <t>JOSEPH</t>
  </si>
  <si>
    <t xml:space="preserve">MELET </t>
  </si>
  <si>
    <t xml:space="preserve">MOURCET </t>
  </si>
  <si>
    <t>ARMAND</t>
  </si>
  <si>
    <t>GILLES</t>
  </si>
  <si>
    <t xml:space="preserve">PERRIN </t>
  </si>
  <si>
    <t>JORDAN</t>
  </si>
  <si>
    <t>YANNICK</t>
  </si>
  <si>
    <t xml:space="preserve">PETITE </t>
  </si>
  <si>
    <t>PATRICE</t>
  </si>
  <si>
    <t xml:space="preserve">RAJON </t>
  </si>
  <si>
    <t>TITOUAN</t>
  </si>
  <si>
    <t xml:space="preserve">RAMBOURG </t>
  </si>
  <si>
    <t>ALEXANDRE</t>
  </si>
  <si>
    <t xml:space="preserve">SAPPEY </t>
  </si>
  <si>
    <t>LILIAN</t>
  </si>
  <si>
    <t xml:space="preserve">SASSOULAS </t>
  </si>
  <si>
    <t xml:space="preserve">SCHULLER </t>
  </si>
  <si>
    <t>CELINE</t>
  </si>
  <si>
    <t xml:space="preserve">SEMANAS </t>
  </si>
  <si>
    <t xml:space="preserve">VIAL </t>
  </si>
  <si>
    <t>JACQUES</t>
  </si>
  <si>
    <t xml:space="preserve">AROMATARIO </t>
  </si>
  <si>
    <t>MAILYS</t>
  </si>
  <si>
    <t>MARIE JOSEE</t>
  </si>
  <si>
    <t xml:space="preserve">LAIOLO </t>
  </si>
  <si>
    <t>CATHERINE</t>
  </si>
  <si>
    <t xml:space="preserve">MARRONE </t>
  </si>
  <si>
    <t>AMELIE</t>
  </si>
  <si>
    <t xml:space="preserve">PIOT </t>
  </si>
  <si>
    <t>SOPHIE</t>
  </si>
  <si>
    <t>CAROLE</t>
  </si>
  <si>
    <t xml:space="preserve">ANGOT </t>
  </si>
  <si>
    <t xml:space="preserve">CONTAL </t>
  </si>
  <si>
    <t>GILBERT</t>
  </si>
  <si>
    <t xml:space="preserve">GENEVEY </t>
  </si>
  <si>
    <t>SEBASTIEN</t>
  </si>
  <si>
    <t xml:space="preserve">GIRARD </t>
  </si>
  <si>
    <t>GUY</t>
  </si>
  <si>
    <t xml:space="preserve">HORAUD </t>
  </si>
  <si>
    <t xml:space="preserve">LAPORTE </t>
  </si>
  <si>
    <t>JACKY</t>
  </si>
  <si>
    <t xml:space="preserve">MEYSSONNIER </t>
  </si>
  <si>
    <t xml:space="preserve">MORGANDO </t>
  </si>
  <si>
    <t>THIERRY</t>
  </si>
  <si>
    <t xml:space="preserve">POCHON </t>
  </si>
  <si>
    <t xml:space="preserve">SAUVAGE </t>
  </si>
  <si>
    <t>CYRIL</t>
  </si>
  <si>
    <t xml:space="preserve">VALERO </t>
  </si>
  <si>
    <t>JESUS</t>
  </si>
  <si>
    <t xml:space="preserve">ZAZA </t>
  </si>
  <si>
    <t xml:space="preserve">ZANCHI </t>
  </si>
  <si>
    <t>GIANNI</t>
  </si>
  <si>
    <t xml:space="preserve">ARFI </t>
  </si>
  <si>
    <t>SIMON</t>
  </si>
  <si>
    <t>JEAN PIERRE</t>
  </si>
  <si>
    <t>DARRIN</t>
  </si>
  <si>
    <t>DE GROOT</t>
  </si>
  <si>
    <t>DEL REY</t>
  </si>
  <si>
    <t>JEAN CHRISTOPHE</t>
  </si>
  <si>
    <t>LE MASSON</t>
  </si>
  <si>
    <t>DA COSTA BARROS</t>
  </si>
  <si>
    <t>RAPHAEL</t>
  </si>
  <si>
    <t>DA SILVA</t>
  </si>
  <si>
    <t>MOINE PICARD</t>
  </si>
  <si>
    <t>Classement jeunes 15-16 ans UFOLEP</t>
  </si>
  <si>
    <t>Classement jeunes féminines 15-16 ans UFOLEP</t>
  </si>
  <si>
    <t>Classement jeunes 13-14 ans UFOLEP</t>
  </si>
  <si>
    <t>Classement jeunes féminines 13-14 ans UFOLEP</t>
  </si>
  <si>
    <t>AB</t>
  </si>
  <si>
    <t>NC</t>
  </si>
  <si>
    <t>NP</t>
  </si>
  <si>
    <t>U1:</t>
  </si>
  <si>
    <t>U2:</t>
  </si>
  <si>
    <t>U3:</t>
  </si>
  <si>
    <t>U4:</t>
  </si>
  <si>
    <t>FEM:</t>
  </si>
  <si>
    <t>H 15/16 ans:</t>
  </si>
  <si>
    <t>F 15/16 ans:</t>
  </si>
  <si>
    <t>H 13/14 ans:</t>
  </si>
  <si>
    <t>F 13/14 ans:</t>
  </si>
  <si>
    <t>Classement U1</t>
  </si>
  <si>
    <t>Classement U2</t>
  </si>
  <si>
    <t>Classement U3</t>
  </si>
  <si>
    <t>Classement U4</t>
  </si>
  <si>
    <t>Classement UFEM</t>
  </si>
  <si>
    <t>Classement H15_16</t>
  </si>
  <si>
    <t>Classement F15_16</t>
  </si>
  <si>
    <t>Classement H13_14</t>
  </si>
  <si>
    <t>Classement F13_14</t>
  </si>
  <si>
    <t>03893257316</t>
  </si>
  <si>
    <t>03893322674</t>
  </si>
  <si>
    <t>03893254774</t>
  </si>
  <si>
    <t>2019</t>
  </si>
  <si>
    <t xml:space="preserve">CHATELAIS </t>
  </si>
  <si>
    <t>03893263440</t>
  </si>
  <si>
    <t xml:space="preserve">D'ASCOLI </t>
  </si>
  <si>
    <t xml:space="preserve">CECILLON </t>
  </si>
  <si>
    <t>KYLIAN</t>
  </si>
  <si>
    <t>03893331475</t>
  </si>
  <si>
    <t xml:space="preserve">HUPPENOIRE </t>
  </si>
  <si>
    <t>YOHAN</t>
  </si>
  <si>
    <t>03893331060</t>
  </si>
  <si>
    <t xml:space="preserve">MOULARD </t>
  </si>
  <si>
    <t>MATHIEU</t>
  </si>
  <si>
    <t>03893331763</t>
  </si>
  <si>
    <t xml:space="preserve">PELISSIER </t>
  </si>
  <si>
    <t>ROSTAING TROUX</t>
  </si>
  <si>
    <t xml:space="preserve">AGUD </t>
  </si>
  <si>
    <t>03893331774</t>
  </si>
  <si>
    <t xml:space="preserve">BERTRAND </t>
  </si>
  <si>
    <t>WILLIAM</t>
  </si>
  <si>
    <t>03893309287</t>
  </si>
  <si>
    <t xml:space="preserve">BOUNOUA </t>
  </si>
  <si>
    <t>LAID</t>
  </si>
  <si>
    <t>03893331000</t>
  </si>
  <si>
    <t xml:space="preserve">BOUVIER </t>
  </si>
  <si>
    <t>03893330478</t>
  </si>
  <si>
    <t xml:space="preserve">CAPPELLAZZO </t>
  </si>
  <si>
    <t>YVES LIONEL</t>
  </si>
  <si>
    <t>03893331393</t>
  </si>
  <si>
    <t xml:space="preserve">COLLIAT </t>
  </si>
  <si>
    <t>AYMERIC</t>
  </si>
  <si>
    <t>03893331385</t>
  </si>
  <si>
    <t xml:space="preserve">DEBAISIEUX </t>
  </si>
  <si>
    <t>03893328215</t>
  </si>
  <si>
    <t>ENZO</t>
  </si>
  <si>
    <t>03893328216</t>
  </si>
  <si>
    <t xml:space="preserve">DOHEN </t>
  </si>
  <si>
    <t>03893331773</t>
  </si>
  <si>
    <t xml:space="preserve">DUBOIS </t>
  </si>
  <si>
    <t>03893297908</t>
  </si>
  <si>
    <t>03893330730</t>
  </si>
  <si>
    <t xml:space="preserve">FAUNY </t>
  </si>
  <si>
    <t>QUENTIN</t>
  </si>
  <si>
    <t>03893331001</t>
  </si>
  <si>
    <t xml:space="preserve">GILLET </t>
  </si>
  <si>
    <t>03893331760</t>
  </si>
  <si>
    <t xml:space="preserve">GUILBAUT </t>
  </si>
  <si>
    <t>JONAS</t>
  </si>
  <si>
    <t>03893312093</t>
  </si>
  <si>
    <t xml:space="preserve">JUST </t>
  </si>
  <si>
    <t>JOHANN</t>
  </si>
  <si>
    <t>03893301242</t>
  </si>
  <si>
    <t xml:space="preserve">LACROIX </t>
  </si>
  <si>
    <t>FRANCOIS</t>
  </si>
  <si>
    <t>03893313347</t>
  </si>
  <si>
    <t xml:space="preserve">LEPINE </t>
  </si>
  <si>
    <t>VALERE</t>
  </si>
  <si>
    <t>03893331101</t>
  </si>
  <si>
    <t xml:space="preserve">LESAFFRE </t>
  </si>
  <si>
    <t>03893329653</t>
  </si>
  <si>
    <t xml:space="preserve">PANIZZI </t>
  </si>
  <si>
    <t>03893328325</t>
  </si>
  <si>
    <t xml:space="preserve">PINA </t>
  </si>
  <si>
    <t>03893328320</t>
  </si>
  <si>
    <t xml:space="preserve">SEITE </t>
  </si>
  <si>
    <t>03893317270</t>
  </si>
  <si>
    <t xml:space="preserve">TEIRLYNCK </t>
  </si>
  <si>
    <t>REYNALD</t>
  </si>
  <si>
    <t>03893328401</t>
  </si>
  <si>
    <t xml:space="preserve">WINTZ </t>
  </si>
  <si>
    <t>TIMOTHEE</t>
  </si>
  <si>
    <t>03893331497</t>
  </si>
  <si>
    <t>4-A</t>
  </si>
  <si>
    <t xml:space="preserve">BESSARD </t>
  </si>
  <si>
    <t>JEAN LUC</t>
  </si>
  <si>
    <t>03893328650</t>
  </si>
  <si>
    <t>CARTIER MILLION</t>
  </si>
  <si>
    <t>RAYMOND</t>
  </si>
  <si>
    <t>CORONT DUCLUZEAU</t>
  </si>
  <si>
    <t xml:space="preserve">MASSON </t>
  </si>
  <si>
    <t>03893331764</t>
  </si>
  <si>
    <t>LUC</t>
  </si>
  <si>
    <t>03893331382</t>
  </si>
  <si>
    <t xml:space="preserve">MENNESSON </t>
  </si>
  <si>
    <t>OLIVIER</t>
  </si>
  <si>
    <t>03893328373</t>
  </si>
  <si>
    <t>03893328651</t>
  </si>
  <si>
    <t xml:space="preserve">HERTAULT </t>
  </si>
  <si>
    <t>AGNES</t>
  </si>
  <si>
    <t>03893331786</t>
  </si>
  <si>
    <t>LEGRAIS BOUCHER</t>
  </si>
  <si>
    <t>MELANIE</t>
  </si>
  <si>
    <t xml:space="preserve">MARGUET </t>
  </si>
  <si>
    <t>ALINE</t>
  </si>
  <si>
    <t>03893329654</t>
  </si>
  <si>
    <t xml:space="preserve">QUERTIER </t>
  </si>
  <si>
    <t>MAUD</t>
  </si>
  <si>
    <t>03893331108</t>
  </si>
  <si>
    <t>03893331386</t>
  </si>
  <si>
    <t xml:space="preserve">PESAVENTO </t>
  </si>
  <si>
    <t>03893328316</t>
  </si>
  <si>
    <t xml:space="preserve">LUTZ </t>
  </si>
  <si>
    <t xml:space="preserve">DUTHILLE </t>
  </si>
  <si>
    <t xml:space="preserve">IVARS </t>
  </si>
  <si>
    <t xml:space="preserve">GANI </t>
  </si>
  <si>
    <t>ROBERT</t>
  </si>
  <si>
    <t xml:space="preserve">TAVERNIER </t>
  </si>
  <si>
    <t xml:space="preserve">WIPFF </t>
  </si>
  <si>
    <t xml:space="preserve">SORO </t>
  </si>
  <si>
    <t>4-B</t>
  </si>
  <si>
    <t xml:space="preserve">JANUS </t>
  </si>
  <si>
    <t>CLAUDE</t>
  </si>
  <si>
    <t>03893332010</t>
  </si>
  <si>
    <t>03893332076</t>
  </si>
  <si>
    <t>03893325840</t>
  </si>
  <si>
    <t>03893326842</t>
  </si>
  <si>
    <t>03893332061</t>
  </si>
  <si>
    <t>03893325876</t>
  </si>
  <si>
    <t>03893330774</t>
  </si>
  <si>
    <t>03893332068</t>
  </si>
  <si>
    <t>03893322043</t>
  </si>
  <si>
    <t>03851219760</t>
  </si>
  <si>
    <t>03893332009</t>
  </si>
  <si>
    <t>ROMARIC</t>
  </si>
  <si>
    <t>PELLOUX TYTGAT</t>
  </si>
  <si>
    <t>GERALDINE</t>
  </si>
  <si>
    <t>DEL REY ESCAMILLA</t>
  </si>
  <si>
    <t xml:space="preserve">Carte cyclosportive 2019 </t>
  </si>
  <si>
    <t>Mise à jour:</t>
  </si>
  <si>
    <t>VILLARD DE LANS TEAM VERCORS</t>
  </si>
  <si>
    <t>03893319146</t>
  </si>
  <si>
    <t>MICKAEL</t>
  </si>
  <si>
    <t>CHAMPAULT</t>
  </si>
  <si>
    <t>03893307212</t>
  </si>
  <si>
    <t>04 mai 2019</t>
  </si>
  <si>
    <t>MELINU</t>
  </si>
  <si>
    <t>03893311366</t>
  </si>
  <si>
    <t>03893332207</t>
  </si>
  <si>
    <t>GAILLARD</t>
  </si>
  <si>
    <t>RICHARD</t>
  </si>
  <si>
    <t>MELEZE LOUISON</t>
  </si>
  <si>
    <t>SUD GRESIVAUDAN CYCLISME</t>
  </si>
  <si>
    <t>03893367306</t>
  </si>
  <si>
    <t>PALAZZOTTO ELIE</t>
  </si>
  <si>
    <t>UC VOIRON</t>
  </si>
  <si>
    <t>UNION CYCLISTE VOIRONNAISE</t>
  </si>
  <si>
    <t>UNION CYCLISTE DE PONTCHARRA GRESIVAUDAN</t>
  </si>
  <si>
    <t>SGCC</t>
  </si>
  <si>
    <t>GEFFROY MAXIME</t>
  </si>
  <si>
    <t>ESSM</t>
  </si>
  <si>
    <t>GIRAUD MATTHIEU</t>
  </si>
  <si>
    <t>UC RIVES</t>
  </si>
  <si>
    <t>HAGE TITOUAN</t>
  </si>
  <si>
    <t>LAMBERSEND BAPTISTE</t>
  </si>
  <si>
    <t>PENEL MARVIN</t>
  </si>
  <si>
    <t>VTT CHARTREUSE</t>
  </si>
  <si>
    <t>BOUVIER THOMAS</t>
  </si>
  <si>
    <t>03893357279</t>
  </si>
  <si>
    <t>COLOTTI JULIEN</t>
  </si>
  <si>
    <t>TEAM 3 MASSIFS</t>
  </si>
  <si>
    <t>03893333244</t>
  </si>
  <si>
    <t>UNION CYCLISTE RIVOISE</t>
  </si>
  <si>
    <t>CYCLO CLUB DE GIERES</t>
  </si>
  <si>
    <t>DUPIN ALEXANDRE</t>
  </si>
  <si>
    <t>03893354975</t>
  </si>
  <si>
    <t>LISI SAMUELE</t>
  </si>
  <si>
    <t>MELEZE FREDERIC</t>
  </si>
  <si>
    <t>03893367079</t>
  </si>
  <si>
    <t>MELEZE JEAN-PHILIPPE</t>
  </si>
  <si>
    <t>03893367076</t>
  </si>
  <si>
    <t>MONGE NICOLAS</t>
  </si>
  <si>
    <t>03893346270</t>
  </si>
  <si>
    <t>MONNET YANNICK</t>
  </si>
  <si>
    <t>PETITE PATRICE</t>
  </si>
  <si>
    <t>RIPPERT VALENTIN</t>
  </si>
  <si>
    <t>03893339759</t>
  </si>
  <si>
    <t>SOURIMANT NICOLAS</t>
  </si>
  <si>
    <t>03893358671</t>
  </si>
  <si>
    <t>JARRIE CHAMP SUR DRAC CYCLISME</t>
  </si>
  <si>
    <t>BUSCAYLET PHILIPPE</t>
  </si>
  <si>
    <t>CHAUMONT COLIN</t>
  </si>
  <si>
    <t>03893367088</t>
  </si>
  <si>
    <t>DE FLAUGERGUES FRANCOIS</t>
  </si>
  <si>
    <t>03893367078</t>
  </si>
  <si>
    <t>DELETROY AXEL</t>
  </si>
  <si>
    <t>03893344230</t>
  </si>
  <si>
    <t>DUMOULIN HERVE</t>
  </si>
  <si>
    <t>GIANNONE JOSEPH</t>
  </si>
  <si>
    <t>03893350944</t>
  </si>
  <si>
    <t>INDERCHIT JEAN-LOUIS</t>
  </si>
  <si>
    <t>03893360729</t>
  </si>
  <si>
    <t>JALLIFFIER-TALMAT PATRICE</t>
  </si>
  <si>
    <t>03893364032</t>
  </si>
  <si>
    <t>MATHIAN EVAN</t>
  </si>
  <si>
    <t>MATHIAN NICOLAS</t>
  </si>
  <si>
    <t>MICAS TITOUAN</t>
  </si>
  <si>
    <t>03893350999</t>
  </si>
  <si>
    <t>NORAZ FLORENT</t>
  </si>
  <si>
    <t>PARROT YVES</t>
  </si>
  <si>
    <t>03893367343</t>
  </si>
  <si>
    <t>PATRICELLI GILLES</t>
  </si>
  <si>
    <t>PENEL STEPHANE</t>
  </si>
  <si>
    <t>SAINTHUILE TRISTAN</t>
  </si>
  <si>
    <t>03893362254</t>
  </si>
  <si>
    <t>SEITE ALAIN</t>
  </si>
  <si>
    <t>SEVOZ ARNAUD</t>
  </si>
  <si>
    <t>03893253368</t>
  </si>
  <si>
    <t>SORDET FABIEN</t>
  </si>
  <si>
    <t>03893268934</t>
  </si>
  <si>
    <t>UHRY GILLES</t>
  </si>
  <si>
    <t>03893345290</t>
  </si>
  <si>
    <t>SUD GRESIVAUDAN CYCLISME COMPETITION</t>
  </si>
  <si>
    <t>VIAL WILLY</t>
  </si>
  <si>
    <t>03893335127</t>
  </si>
  <si>
    <t>CARRE HERVE</t>
  </si>
  <si>
    <t>03893286173</t>
  </si>
  <si>
    <t>DEBUCK LAURENT</t>
  </si>
  <si>
    <t>03893335373</t>
  </si>
  <si>
    <t>GUILLERMIN ROLAND</t>
  </si>
  <si>
    <t>LOUPIEN VINCENT</t>
  </si>
  <si>
    <t>03893350576</t>
  </si>
  <si>
    <t>PARA DAMIEN</t>
  </si>
  <si>
    <t>RAMBAUD JULIEN</t>
  </si>
  <si>
    <t>03893354286</t>
  </si>
  <si>
    <t>CARTIER MILLON RAYMOND</t>
  </si>
  <si>
    <t>ILNICKA OCEANE</t>
  </si>
  <si>
    <t>03893341418</t>
  </si>
  <si>
    <t>SEVOZ LAVERDURE CELIA</t>
  </si>
  <si>
    <t>03893350400</t>
  </si>
  <si>
    <t>Grand prix Oyeu-Burcin 2026</t>
  </si>
  <si>
    <t>CARRILLO Elouan</t>
  </si>
  <si>
    <t>CE10000098</t>
  </si>
  <si>
    <t>HERNANDEZ RAFAEL</t>
  </si>
  <si>
    <t>03893367226</t>
  </si>
  <si>
    <t>JANIN TOM</t>
  </si>
  <si>
    <t>SADOT Baptiste</t>
  </si>
  <si>
    <t>SB10000032</t>
  </si>
  <si>
    <t>SELIN LOIC</t>
  </si>
  <si>
    <t>03893347817</t>
  </si>
  <si>
    <t>BLANCHIN MATHIEU</t>
  </si>
  <si>
    <t>03893338506</t>
  </si>
  <si>
    <t>BOURGEOIS LAURENT</t>
  </si>
  <si>
    <t>V.S.R.P</t>
  </si>
  <si>
    <t>DALBERA MAX</t>
  </si>
  <si>
    <t>TERRA TEAM</t>
  </si>
  <si>
    <t>DUBOIS BILLY</t>
  </si>
  <si>
    <t>DURU JEAN PAUL</t>
  </si>
  <si>
    <t>03893367937</t>
  </si>
  <si>
    <t>FRITSCH NICOLAS</t>
  </si>
  <si>
    <t>GALINDO-REVOL EMMANUEL</t>
  </si>
  <si>
    <t>LA MOTTE SERVOLEX CYCLISME</t>
  </si>
  <si>
    <t>GUICHARD LEO</t>
  </si>
  <si>
    <t>03893367940</t>
  </si>
  <si>
    <t>JAILLANT AXEL</t>
  </si>
  <si>
    <t>LAPIERRE NOE</t>
  </si>
  <si>
    <t>03893362655</t>
  </si>
  <si>
    <t>MOREL PHILIPPE</t>
  </si>
  <si>
    <t>CHABLAIS LEMAN SPORT ORGANISATION</t>
  </si>
  <si>
    <t>PITIOT TAO</t>
  </si>
  <si>
    <t>RICAU Charles</t>
  </si>
  <si>
    <t>VIALLET TIMOTHEE</t>
  </si>
  <si>
    <t>VIDE NICOLAS</t>
  </si>
  <si>
    <t>03893339762</t>
  </si>
  <si>
    <t>VINCENT ANTOINE</t>
  </si>
  <si>
    <t>AURA</t>
  </si>
  <si>
    <t>BROUSSET Tristan</t>
  </si>
  <si>
    <t>ALPIN'S WHEEL TEAM</t>
  </si>
  <si>
    <t>03893361210</t>
  </si>
  <si>
    <t>CHERY Paul</t>
  </si>
  <si>
    <t>CLEMENT JUST</t>
  </si>
  <si>
    <t>03893370646</t>
  </si>
  <si>
    <t>COGNE SEBASTIEN</t>
  </si>
  <si>
    <t>COLLETTE MAXIME</t>
  </si>
  <si>
    <t>03893362713</t>
  </si>
  <si>
    <t>DEGACHE SIMON</t>
  </si>
  <si>
    <t>GIL BRUNO</t>
  </si>
  <si>
    <t>JALLET WILLIAM</t>
  </si>
  <si>
    <t>TEAM JALLET AUTO</t>
  </si>
  <si>
    <t>LOLIA  FELIX</t>
  </si>
  <si>
    <t>AS BERTHELOT MERMOZ</t>
  </si>
  <si>
    <t>MARMI XAVIER</t>
  </si>
  <si>
    <t>MARTINEZ PHILIPPE</t>
  </si>
  <si>
    <t>TEAM JALLET</t>
  </si>
  <si>
    <t>MERLO RAPHAEL</t>
  </si>
  <si>
    <t>03893361657</t>
  </si>
  <si>
    <t>MORACCHIOLI THOMAS</t>
  </si>
  <si>
    <t>03893359805</t>
  </si>
  <si>
    <t>PINTUS EMMANUEL</t>
  </si>
  <si>
    <t>03893362017</t>
  </si>
  <si>
    <t>REY ANTHONY</t>
  </si>
  <si>
    <t>03893370280</t>
  </si>
  <si>
    <t>SANTALUCIA UGO</t>
  </si>
  <si>
    <t>03893368574</t>
  </si>
  <si>
    <t>TRUC-VALLET  THOMAS</t>
  </si>
  <si>
    <t>PAS DE CLUB</t>
  </si>
  <si>
    <t>ALESSANDRI DAMIEN</t>
  </si>
  <si>
    <t>03893352233</t>
  </si>
  <si>
    <t>ANGOT ANTOINE</t>
  </si>
  <si>
    <t>CLUB MARZY CYCLISTE</t>
  </si>
  <si>
    <t>05866747055</t>
  </si>
  <si>
    <t>BOUVIER MANON</t>
  </si>
  <si>
    <t>03893337664</t>
  </si>
  <si>
    <t>CLOUTE FRANCOIS</t>
  </si>
  <si>
    <t>D'ASCOLI JEAN-PIERRE</t>
  </si>
  <si>
    <t>GATEAUX Damien</t>
  </si>
  <si>
    <t>03893358777</t>
  </si>
  <si>
    <t>JALLIFFIER-TALMAT Thomas</t>
  </si>
  <si>
    <t>03893364033</t>
  </si>
  <si>
    <t>KAIFFER NICOLAS</t>
  </si>
  <si>
    <t>03893369409</t>
  </si>
  <si>
    <t>PAQUET DOMINIQUE</t>
  </si>
  <si>
    <t>03893369035</t>
  </si>
  <si>
    <t>THEVENET PIERRICK</t>
  </si>
  <si>
    <t>03893368182</t>
  </si>
  <si>
    <t>VIDAL Laurent</t>
  </si>
  <si>
    <t>VL10000125</t>
  </si>
  <si>
    <t>BINGLER Eric</t>
  </si>
  <si>
    <t>BE10000268</t>
  </si>
  <si>
    <t>HURSON NICOLAS</t>
  </si>
  <si>
    <t>03893338834</t>
  </si>
  <si>
    <t>MARCHAIS Alexandre</t>
  </si>
  <si>
    <t>MOSCA PATRICK</t>
  </si>
  <si>
    <t>03893251658</t>
  </si>
  <si>
    <t>VALERO ANGELIQUE</t>
  </si>
  <si>
    <t>03893343268</t>
  </si>
  <si>
    <t>MEYSSONNIER BERNARD</t>
  </si>
  <si>
    <t>COTE CHANTAL</t>
  </si>
  <si>
    <t>03893372079</t>
  </si>
  <si>
    <t>REGHEM LUCIE</t>
  </si>
  <si>
    <t>03893368774</t>
  </si>
  <si>
    <t>SELIN KARINE</t>
  </si>
  <si>
    <t>03893345593</t>
  </si>
  <si>
    <t>_81</t>
  </si>
  <si>
    <t>PUDELKO Sébastien</t>
  </si>
  <si>
    <t>RICAU CHARLES</t>
  </si>
  <si>
    <t>CHERY PAUL</t>
  </si>
  <si>
    <t>PUDELKO SÉBASTIEN</t>
  </si>
  <si>
    <t>BROUSSET TRISTAN</t>
  </si>
  <si>
    <t>GATEAUX DAMIEN</t>
  </si>
  <si>
    <t>JALLIFFIER-TALMAT THOMAS</t>
  </si>
  <si>
    <t>VIDAL LAURENT</t>
  </si>
  <si>
    <t>BINGLER ERIC</t>
  </si>
  <si>
    <t>MARCHAIS ALEXANDRE</t>
  </si>
  <si>
    <t>SADOT BAPTISTE</t>
  </si>
  <si>
    <t>CARRILLO ELOUAN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</si>
</sst>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€&quot;#,##0_);[Red]\(&quot;€&quot;#,##0\)"/>
  </numFmts>
  <fonts count="13" x14ac:knownFonts="1">
    <font>
      <sz val="10"/>
      <name val="Arial"/>
      <charset val="1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24"/>
      <name val="Arial"/>
      <family val="2"/>
    </font>
    <font>
      <sz val="12"/>
      <color rgb="FFFF0000"/>
      <name val="Arial Black"/>
      <family val="2"/>
    </font>
    <font>
      <b/>
      <sz val="18"/>
      <name val="Arial"/>
      <family val="2"/>
    </font>
    <font>
      <sz val="11"/>
      <color rgb="FF008000"/>
      <name val="Arial Black"/>
      <family val="2"/>
    </font>
    <font>
      <sz val="12"/>
      <color rgb="FF008000"/>
      <name val="Arial Black"/>
      <family val="2"/>
    </font>
    <font>
      <b/>
      <sz val="14"/>
      <name val="Arial"/>
      <family val="2"/>
    </font>
    <font>
      <b/>
      <sz val="8"/>
      <name val="Arial"/>
      <family val="2"/>
    </font>
    <font>
      <sz val="1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theme="0" tint="-0.1499679555650502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theme="0" tint="-0.1499679555650502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theme="0" tint="-0.14996795556505021"/>
      </right>
      <top style="medium">
        <color auto="1"/>
      </top>
      <bottom style="thin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theme="0" tint="-0.14996795556505021"/>
      </right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theme="0" tint="-0.14996795556505021"/>
      </right>
      <top style="thin">
        <color auto="1"/>
      </top>
      <bottom style="medium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6">
    <xf numFmtId="0" fontId="0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</cellStyleXfs>
  <cellXfs count="132">
    <xf numFmtId="0" fontId="1" fillId="0" borderId="0" xfId="0" applyFont="1"/>
    <xf numFmtId="0" fontId="3" fillId="0" borderId="16" xfId="0" applyFont="1" applyBorder="1" applyAlignment="1">
      <alignment horizontal="right" vertical="center"/>
    </xf>
    <xf numFmtId="0" fontId="1" fillId="0" borderId="0" xfId="0" applyFont="1" applyAlignment="1">
      <alignment vertical="center"/>
    </xf>
    <xf numFmtId="49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 applyProtection="1">
      <alignment horizontal="left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49" fontId="3" fillId="0" borderId="11" xfId="0" applyNumberFormat="1" applyFont="1" applyBorder="1" applyAlignment="1" applyProtection="1">
      <alignment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1" fillId="0" borderId="11" xfId="0" applyFont="1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1" fillId="0" borderId="11" xfId="0" applyFont="1" applyBorder="1" applyAlignment="1" applyProtection="1">
      <alignment horizontal="left" vertical="center"/>
      <protection locked="0"/>
    </xf>
    <xf numFmtId="0" fontId="3" fillId="0" borderId="11" xfId="0" applyFont="1" applyBorder="1" applyAlignment="1" applyProtection="1">
      <alignment horizontal="left" vertical="center"/>
      <protection locked="0"/>
    </xf>
    <xf numFmtId="49" fontId="3" fillId="0" borderId="11" xfId="1" applyNumberFormat="1" applyFont="1" applyBorder="1" applyAlignment="1" applyProtection="1">
      <alignment horizontal="left" vertical="center"/>
      <protection locked="0"/>
    </xf>
    <xf numFmtId="49" fontId="1" fillId="0" borderId="11" xfId="0" applyNumberFormat="1" applyFont="1" applyBorder="1" applyAlignment="1" applyProtection="1">
      <alignment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49" fontId="1" fillId="0" borderId="13" xfId="0" applyNumberFormat="1" applyFont="1" applyBorder="1" applyAlignment="1" applyProtection="1">
      <alignment vertical="center"/>
      <protection locked="0"/>
    </xf>
    <xf numFmtId="0" fontId="3" fillId="0" borderId="13" xfId="0" applyFont="1" applyBorder="1" applyAlignment="1" applyProtection="1">
      <alignment horizontal="center" vertical="center"/>
      <protection locked="0"/>
    </xf>
    <xf numFmtId="0" fontId="1" fillId="0" borderId="13" xfId="0" applyFont="1" applyBorder="1" applyAlignment="1" applyProtection="1">
      <alignment horizontal="center" vertical="center"/>
      <protection locked="0"/>
    </xf>
    <xf numFmtId="0" fontId="1" fillId="0" borderId="13" xfId="0" applyFont="1" applyBorder="1" applyAlignment="1" applyProtection="1">
      <alignment horizontal="left" vertical="center"/>
      <protection locked="0"/>
    </xf>
    <xf numFmtId="49" fontId="1" fillId="0" borderId="0" xfId="0" applyNumberFormat="1" applyFont="1" applyAlignment="1" applyProtection="1">
      <alignment vertical="center"/>
      <protection locked="0"/>
    </xf>
    <xf numFmtId="0" fontId="4" fillId="0" borderId="0" xfId="0" applyFont="1" applyAlignment="1" applyProtection="1">
      <alignment horizontal="center" vertical="center" wrapText="1"/>
      <protection hidden="1"/>
    </xf>
    <xf numFmtId="0" fontId="5" fillId="0" borderId="0" xfId="0" applyFont="1" applyAlignment="1" applyProtection="1">
      <alignment horizontal="left" vertical="center"/>
      <protection hidden="1"/>
    </xf>
    <xf numFmtId="0" fontId="1" fillId="0" borderId="0" xfId="0" applyFont="1" applyAlignment="1" applyProtection="1">
      <alignment horizontal="left"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1" fillId="0" borderId="0" xfId="0" applyFont="1" applyAlignment="1" applyProtection="1">
      <alignment vertical="center"/>
      <protection hidden="1"/>
    </xf>
    <xf numFmtId="0" fontId="4" fillId="3" borderId="8" xfId="0" applyFont="1" applyFill="1" applyBorder="1" applyAlignment="1" applyProtection="1">
      <alignment horizontal="center" vertical="center"/>
      <protection hidden="1"/>
    </xf>
    <xf numFmtId="0" fontId="4" fillId="3" borderId="9" xfId="0" applyFont="1" applyFill="1" applyBorder="1" applyAlignment="1" applyProtection="1">
      <alignment horizontal="center" vertical="center"/>
      <protection hidden="1"/>
    </xf>
    <xf numFmtId="49" fontId="4" fillId="3" borderId="9" xfId="0" applyNumberFormat="1" applyFont="1" applyFill="1" applyBorder="1" applyAlignment="1" applyProtection="1">
      <alignment horizontal="center" vertical="center"/>
      <protection hidden="1"/>
    </xf>
    <xf numFmtId="0" fontId="4" fillId="3" borderId="5" xfId="0" applyFont="1" applyFill="1" applyBorder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left" vertical="center" indent="1"/>
      <protection locked="0"/>
    </xf>
    <xf numFmtId="49" fontId="4" fillId="0" borderId="0" xfId="0" applyNumberFormat="1" applyFont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left" vertical="center" indent="1"/>
      <protection hidden="1"/>
    </xf>
    <xf numFmtId="0" fontId="4" fillId="0" borderId="0" xfId="0" applyFont="1" applyAlignment="1" applyProtection="1">
      <alignment horizontal="left" vertical="center"/>
      <protection hidden="1"/>
    </xf>
    <xf numFmtId="0" fontId="3" fillId="0" borderId="3" xfId="0" applyFont="1" applyBorder="1" applyAlignment="1" applyProtection="1">
      <alignment vertical="center"/>
      <protection locked="0"/>
    </xf>
    <xf numFmtId="0" fontId="3" fillId="0" borderId="2" xfId="0" applyFont="1" applyBorder="1" applyProtection="1">
      <protection locked="0"/>
    </xf>
    <xf numFmtId="164" fontId="3" fillId="0" borderId="3" xfId="0" applyNumberFormat="1" applyFont="1" applyBorder="1" applyProtection="1">
      <protection locked="0"/>
    </xf>
    <xf numFmtId="0" fontId="1" fillId="0" borderId="3" xfId="0" applyFont="1" applyBorder="1" applyAlignment="1" applyProtection="1">
      <alignment vertical="center"/>
      <protection locked="0"/>
    </xf>
    <xf numFmtId="0" fontId="1" fillId="0" borderId="4" xfId="0" applyFont="1" applyBorder="1" applyAlignment="1" applyProtection="1">
      <alignment vertical="center"/>
      <protection locked="0"/>
    </xf>
    <xf numFmtId="164" fontId="3" fillId="0" borderId="4" xfId="0" applyNumberFormat="1" applyFont="1" applyBorder="1" applyProtection="1">
      <protection locked="0"/>
    </xf>
    <xf numFmtId="0" fontId="2" fillId="0" borderId="0" xfId="0" applyFont="1" applyAlignment="1" applyProtection="1">
      <alignment vertical="center"/>
      <protection hidden="1"/>
    </xf>
    <xf numFmtId="0" fontId="2" fillId="2" borderId="2" xfId="0" applyFont="1" applyFill="1" applyBorder="1" applyAlignment="1" applyProtection="1">
      <alignment vertical="center"/>
      <protection hidden="1"/>
    </xf>
    <xf numFmtId="0" fontId="2" fillId="4" borderId="14" xfId="0" applyFont="1" applyFill="1" applyBorder="1" applyAlignment="1" applyProtection="1">
      <alignment horizontal="center" vertical="center" wrapText="1"/>
      <protection hidden="1"/>
    </xf>
    <xf numFmtId="0" fontId="3" fillId="0" borderId="2" xfId="0" applyFont="1" applyBorder="1" applyProtection="1">
      <protection hidden="1"/>
    </xf>
    <xf numFmtId="164" fontId="3" fillId="0" borderId="3" xfId="0" applyNumberFormat="1" applyFont="1" applyBorder="1" applyProtection="1">
      <protection hidden="1"/>
    </xf>
    <xf numFmtId="164" fontId="3" fillId="0" borderId="4" xfId="0" applyNumberFormat="1" applyFont="1" applyBorder="1" applyProtection="1">
      <protection hidden="1"/>
    </xf>
    <xf numFmtId="0" fontId="0" fillId="0" borderId="6" xfId="0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horizontal="center" vertical="center"/>
      <protection locked="0"/>
    </xf>
    <xf numFmtId="0" fontId="1" fillId="0" borderId="6" xfId="0" applyFont="1" applyBorder="1" applyAlignment="1" applyProtection="1">
      <alignment horizontal="center" vertical="center"/>
      <protection locked="0"/>
    </xf>
    <xf numFmtId="0" fontId="1" fillId="0" borderId="7" xfId="0" applyFont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right" vertical="center"/>
    </xf>
    <xf numFmtId="0" fontId="2" fillId="0" borderId="0" xfId="0" applyFont="1" applyAlignment="1" applyProtection="1">
      <alignment vertical="center"/>
      <protection locked="0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0" fillId="0" borderId="1" xfId="1" applyFont="1" applyBorder="1" applyAlignment="1">
      <alignment horizontal="center" vertical="top"/>
    </xf>
    <xf numFmtId="0" fontId="0" fillId="0" borderId="1" xfId="1" applyFont="1" applyBorder="1" applyAlignment="1">
      <alignment horizontal="left" vertical="top"/>
    </xf>
    <xf numFmtId="0" fontId="3" fillId="0" borderId="1" xfId="1" applyFont="1" applyBorder="1" applyAlignment="1">
      <alignment horizontal="left" vertical="top"/>
    </xf>
    <xf numFmtId="49" fontId="0" fillId="0" borderId="1" xfId="1" applyNumberFormat="1" applyFont="1" applyBorder="1" applyAlignment="1">
      <alignment horizontal="left" vertical="top"/>
    </xf>
    <xf numFmtId="49" fontId="0" fillId="0" borderId="1" xfId="1" applyNumberFormat="1" applyFont="1" applyBorder="1" applyAlignment="1">
      <alignment horizontal="center" vertical="top"/>
    </xf>
    <xf numFmtId="0" fontId="3" fillId="0" borderId="0" xfId="0" applyFont="1"/>
    <xf numFmtId="0" fontId="4" fillId="3" borderId="9" xfId="0" applyFont="1" applyFill="1" applyBorder="1" applyAlignment="1" applyProtection="1">
      <alignment horizontal="left" vertical="center"/>
      <protection hidden="1"/>
    </xf>
    <xf numFmtId="0" fontId="1" fillId="0" borderId="3" xfId="0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3" fillId="0" borderId="21" xfId="0" applyFont="1" applyBorder="1" applyAlignment="1" applyProtection="1">
      <alignment horizontal="center" vertical="center"/>
      <protection locked="0"/>
    </xf>
    <xf numFmtId="0" fontId="3" fillId="5" borderId="14" xfId="0" applyFont="1" applyFill="1" applyBorder="1" applyAlignment="1" applyProtection="1">
      <alignment horizontal="center"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Alignment="1">
      <alignment horizontal="right" vertical="center"/>
    </xf>
    <xf numFmtId="49" fontId="3" fillId="0" borderId="1" xfId="1" applyNumberFormat="1" applyFont="1" applyBorder="1" applyAlignment="1">
      <alignment horizontal="left" vertical="top"/>
    </xf>
    <xf numFmtId="0" fontId="4" fillId="0" borderId="0" xfId="0" applyFont="1" applyAlignment="1" applyProtection="1">
      <alignment vertical="center"/>
      <protection hidden="1"/>
    </xf>
    <xf numFmtId="0" fontId="3" fillId="0" borderId="1" xfId="0" applyFont="1" applyBorder="1"/>
    <xf numFmtId="49" fontId="3" fillId="0" borderId="0" xfId="0" applyNumberFormat="1" applyFont="1" applyAlignment="1">
      <alignment horizontal="center" vertical="center"/>
    </xf>
    <xf numFmtId="49" fontId="3" fillId="0" borderId="0" xfId="0" applyNumberFormat="1" applyFont="1"/>
    <xf numFmtId="0" fontId="3" fillId="0" borderId="0" xfId="0" applyFont="1" applyAlignment="1">
      <alignment horizontal="left" vertical="center"/>
    </xf>
    <xf numFmtId="0" fontId="0" fillId="0" borderId="1" xfId="1" applyFont="1" applyBorder="1" applyAlignment="1">
      <alignment horizontal="center"/>
    </xf>
    <xf numFmtId="0" fontId="3" fillId="0" borderId="1" xfId="1" applyFont="1" applyBorder="1" applyAlignment="1">
      <alignment horizontal="center"/>
    </xf>
    <xf numFmtId="0" fontId="2" fillId="0" borderId="1" xfId="0" applyFont="1" applyBorder="1"/>
    <xf numFmtId="0" fontId="2" fillId="0" borderId="1" xfId="0" applyFont="1" applyBorder="1" applyAlignment="1">
      <alignment horizontal="center" vertical="center"/>
    </xf>
    <xf numFmtId="0" fontId="3" fillId="0" borderId="1" xfId="0" quotePrefix="1" applyFont="1" applyBorder="1"/>
    <xf numFmtId="0" fontId="3" fillId="0" borderId="0" xfId="0" quotePrefix="1" applyFo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49" fontId="12" fillId="3" borderId="22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0" fillId="0" borderId="1" xfId="1" applyFont="1" applyBorder="1" applyAlignment="1">
      <alignment horizontal="center" vertical="center"/>
    </xf>
    <xf numFmtId="14" fontId="0" fillId="0" borderId="1" xfId="1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1" fillId="0" borderId="1" xfId="1" applyBorder="1" applyAlignment="1">
      <alignment horizontal="left" vertical="top"/>
    </xf>
    <xf numFmtId="49" fontId="1" fillId="0" borderId="11" xfId="1" applyNumberFormat="1" applyBorder="1" applyAlignment="1" applyProtection="1">
      <alignment horizontal="left" vertic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0" fontId="3" fillId="0" borderId="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0" borderId="1" xfId="0" quotePrefix="1" applyFont="1" applyBorder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49" fontId="0" fillId="0" borderId="1" xfId="1" applyNumberFormat="1" applyFont="1" applyBorder="1" applyAlignment="1">
      <alignment horizontal="center"/>
    </xf>
    <xf numFmtId="49" fontId="3" fillId="0" borderId="1" xfId="0" applyNumberFormat="1" applyFont="1" applyBorder="1"/>
    <xf numFmtId="49" fontId="1" fillId="0" borderId="1" xfId="0" applyNumberFormat="1" applyFont="1" applyBorder="1"/>
    <xf numFmtId="14" fontId="1" fillId="7" borderId="1" xfId="1" applyNumberFormat="1" applyFill="1" applyBorder="1" applyAlignment="1">
      <alignment horizontal="center" vertical="top"/>
    </xf>
    <xf numFmtId="0" fontId="1" fillId="7" borderId="1" xfId="1" applyFill="1" applyBorder="1" applyAlignment="1">
      <alignment horizontal="left" vertical="top"/>
    </xf>
    <xf numFmtId="0" fontId="1" fillId="7" borderId="1" xfId="1" applyFill="1" applyBorder="1" applyAlignment="1">
      <alignment horizontal="center" vertical="top"/>
    </xf>
    <xf numFmtId="0" fontId="1" fillId="7" borderId="1" xfId="4" applyFill="1" applyBorder="1" applyAlignment="1">
      <alignment horizontal="left" vertical="top"/>
    </xf>
    <xf numFmtId="49" fontId="1" fillId="7" borderId="1" xfId="1" applyNumberFormat="1" applyFill="1" applyBorder="1" applyAlignment="1">
      <alignment horizontal="center" vertical="top"/>
    </xf>
    <xf numFmtId="49" fontId="1" fillId="0" borderId="1" xfId="1" applyNumberFormat="1" applyBorder="1" applyAlignment="1">
      <alignment horizontal="left" vertical="top"/>
    </xf>
    <xf numFmtId="49" fontId="3" fillId="0" borderId="0" xfId="0" applyNumberFormat="1" applyFont="1" applyAlignment="1">
      <alignment horizontal="center"/>
    </xf>
    <xf numFmtId="49" fontId="1" fillId="0" borderId="0" xfId="0" applyNumberFormat="1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vertical="center"/>
      <protection locked="0"/>
    </xf>
    <xf numFmtId="0" fontId="1" fillId="0" borderId="17" xfId="0" applyFont="1" applyBorder="1" applyAlignment="1">
      <alignment horizontal="right" vertical="center"/>
    </xf>
    <xf numFmtId="0" fontId="1" fillId="0" borderId="19" xfId="0" applyFont="1" applyBorder="1" applyAlignment="1">
      <alignment horizontal="right" vertical="center"/>
    </xf>
    <xf numFmtId="0" fontId="1" fillId="0" borderId="15" xfId="0" applyFont="1" applyBorder="1" applyAlignment="1">
      <alignment horizontal="right" vertical="center"/>
    </xf>
    <xf numFmtId="0" fontId="2" fillId="0" borderId="17" xfId="0" applyFont="1" applyBorder="1" applyAlignment="1" applyProtection="1">
      <alignment horizontal="left" vertical="center"/>
      <protection locked="0"/>
    </xf>
    <xf numFmtId="0" fontId="2" fillId="0" borderId="18" xfId="0" applyFont="1" applyBorder="1" applyAlignment="1" applyProtection="1">
      <alignment horizontal="left" vertical="center"/>
      <protection locked="0"/>
    </xf>
    <xf numFmtId="0" fontId="2" fillId="0" borderId="15" xfId="0" applyFont="1" applyBorder="1" applyAlignment="1" applyProtection="1">
      <alignment horizontal="left" vertical="center"/>
      <protection locked="0"/>
    </xf>
    <xf numFmtId="0" fontId="2" fillId="0" borderId="20" xfId="0" applyFont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49" fontId="1" fillId="0" borderId="15" xfId="0" applyNumberFormat="1" applyFont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alignment horizontal="center" vertical="center"/>
      <protection hidden="1"/>
    </xf>
    <xf numFmtId="0" fontId="10" fillId="0" borderId="0" xfId="0" applyFont="1" applyAlignment="1">
      <alignment horizontal="center" vertical="center"/>
    </xf>
    <xf numFmtId="49" fontId="12" fillId="6" borderId="23" xfId="0" applyNumberFormat="1" applyFont="1" applyFill="1" applyBorder="1" applyAlignment="1">
      <alignment horizontal="center" vertical="center"/>
    </xf>
    <xf numFmtId="49" fontId="12" fillId="6" borderId="24" xfId="0" applyNumberFormat="1" applyFont="1" applyFill="1" applyBorder="1" applyAlignment="1">
      <alignment horizontal="center" vertical="center"/>
    </xf>
    <xf numFmtId="49" fontId="12" fillId="6" borderId="25" xfId="0" applyNumberFormat="1" applyFont="1" applyFill="1" applyBorder="1" applyAlignment="1">
      <alignment horizontal="center" vertical="center"/>
    </xf>
  </cellXfs>
  <cellStyles count="6">
    <cellStyle name="NiveauLigne_4" xfId="1" builtinId="1" iLevel="3"/>
    <cellStyle name="NiveauLigne_4 2" xfId="4" xr:uid="{00000000-0005-0000-0000-000001000000}"/>
    <cellStyle name="Normal" xfId="0" builtinId="0"/>
    <cellStyle name="Normal 2" xfId="2" xr:uid="{00000000-0005-0000-0000-000003000000}"/>
    <cellStyle name="Normal 2 2" xfId="5" xr:uid="{00000000-0005-0000-0000-000004000000}"/>
    <cellStyle name="Normal 3" xfId="3" xr:uid="{00000000-0005-0000-0000-000005000000}"/>
  </cellStyles>
  <dxfs count="10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FFCC"/>
      <color rgb="FF99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6</xdr:row>
          <xdr:rowOff>9525</xdr:rowOff>
        </xdr:from>
        <xdr:to>
          <xdr:col>2</xdr:col>
          <xdr:colOff>0</xdr:colOff>
          <xdr:row>8</xdr:row>
          <xdr:rowOff>142875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8000"/>
                  </a:solidFill>
                  <a:latin typeface="Arial Black"/>
                </a:rPr>
                <a:t>Classements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21</xdr:row>
          <xdr:rowOff>161925</xdr:rowOff>
        </xdr:from>
        <xdr:to>
          <xdr:col>6</xdr:col>
          <xdr:colOff>609600</xdr:colOff>
          <xdr:row>24</xdr:row>
          <xdr:rowOff>9525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1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FF0000"/>
                  </a:solidFill>
                  <a:latin typeface="Arial Black"/>
                </a:rPr>
                <a:t>RAZ course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6</xdr:row>
          <xdr:rowOff>9525</xdr:rowOff>
        </xdr:from>
        <xdr:to>
          <xdr:col>4</xdr:col>
          <xdr:colOff>285750</xdr:colOff>
          <xdr:row>8</xdr:row>
          <xdr:rowOff>152400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1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8000"/>
                  </a:solidFill>
                  <a:latin typeface="Arial Black"/>
                </a:rPr>
                <a:t>Impressions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21</xdr:row>
          <xdr:rowOff>161925</xdr:rowOff>
        </xdr:from>
        <xdr:to>
          <xdr:col>1</xdr:col>
          <xdr:colOff>485775</xdr:colOff>
          <xdr:row>24</xdr:row>
          <xdr:rowOff>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1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4008" rIns="54864" bIns="6400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8000"/>
                  </a:solidFill>
                  <a:latin typeface="Arial Black"/>
                </a:rPr>
                <a:t>? Aide ? course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367873</xdr:colOff>
      <xdr:row>0</xdr:row>
      <xdr:rowOff>0</xdr:rowOff>
    </xdr:from>
    <xdr:to>
      <xdr:col>5</xdr:col>
      <xdr:colOff>154991</xdr:colOff>
      <xdr:row>1</xdr:row>
      <xdr:rowOff>32845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62666" y="0"/>
          <a:ext cx="2329308" cy="7357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21</xdr:row>
          <xdr:rowOff>161925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1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4008" rIns="54864" bIns="6400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8000"/>
                  </a:solidFill>
                  <a:latin typeface="Arial Black"/>
                </a:rPr>
                <a:t>APAC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266699</xdr:colOff>
      <xdr:row>0</xdr:row>
      <xdr:rowOff>142875</xdr:rowOff>
    </xdr:from>
    <xdr:to>
      <xdr:col>8</xdr:col>
      <xdr:colOff>16884</xdr:colOff>
      <xdr:row>0</xdr:row>
      <xdr:rowOff>1019175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81624" y="142875"/>
          <a:ext cx="2774373" cy="876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266699</xdr:colOff>
      <xdr:row>0</xdr:row>
      <xdr:rowOff>142875</xdr:rowOff>
    </xdr:from>
    <xdr:to>
      <xdr:col>8</xdr:col>
      <xdr:colOff>16884</xdr:colOff>
      <xdr:row>0</xdr:row>
      <xdr:rowOff>1019175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81624" y="142875"/>
          <a:ext cx="2774373" cy="876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266699</xdr:colOff>
      <xdr:row>0</xdr:row>
      <xdr:rowOff>142875</xdr:rowOff>
    </xdr:from>
    <xdr:to>
      <xdr:col>8</xdr:col>
      <xdr:colOff>16884</xdr:colOff>
      <xdr:row>0</xdr:row>
      <xdr:rowOff>1019175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81624" y="142875"/>
          <a:ext cx="2774373" cy="876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266699</xdr:colOff>
      <xdr:row>0</xdr:row>
      <xdr:rowOff>142875</xdr:rowOff>
    </xdr:from>
    <xdr:to>
      <xdr:col>8</xdr:col>
      <xdr:colOff>16884</xdr:colOff>
      <xdr:row>0</xdr:row>
      <xdr:rowOff>1019175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81624" y="142875"/>
          <a:ext cx="2774373" cy="876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266699</xdr:colOff>
      <xdr:row>0</xdr:row>
      <xdr:rowOff>142875</xdr:rowOff>
    </xdr:from>
    <xdr:to>
      <xdr:col>8</xdr:col>
      <xdr:colOff>16884</xdr:colOff>
      <xdr:row>0</xdr:row>
      <xdr:rowOff>1019175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81624" y="142875"/>
          <a:ext cx="2774373" cy="876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266699</xdr:colOff>
      <xdr:row>0</xdr:row>
      <xdr:rowOff>142875</xdr:rowOff>
    </xdr:from>
    <xdr:to>
      <xdr:col>8</xdr:col>
      <xdr:colOff>16884</xdr:colOff>
      <xdr:row>0</xdr:row>
      <xdr:rowOff>1019175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81624" y="142875"/>
          <a:ext cx="2774373" cy="876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266699</xdr:colOff>
      <xdr:row>0</xdr:row>
      <xdr:rowOff>142875</xdr:rowOff>
    </xdr:from>
    <xdr:to>
      <xdr:col>8</xdr:col>
      <xdr:colOff>16884</xdr:colOff>
      <xdr:row>0</xdr:row>
      <xdr:rowOff>1019175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81624" y="142875"/>
          <a:ext cx="2774373" cy="876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266699</xdr:colOff>
      <xdr:row>0</xdr:row>
      <xdr:rowOff>142875</xdr:rowOff>
    </xdr:from>
    <xdr:to>
      <xdr:col>8</xdr:col>
      <xdr:colOff>16884</xdr:colOff>
      <xdr:row>0</xdr:row>
      <xdr:rowOff>1019175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81624" y="142875"/>
          <a:ext cx="2774373" cy="876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266699</xdr:colOff>
      <xdr:row>0</xdr:row>
      <xdr:rowOff>142875</xdr:rowOff>
    </xdr:from>
    <xdr:to>
      <xdr:col>8</xdr:col>
      <xdr:colOff>12122</xdr:colOff>
      <xdr:row>0</xdr:row>
      <xdr:rowOff>1019175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81624" y="142875"/>
          <a:ext cx="2774373" cy="876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9524</xdr:colOff>
      <xdr:row>0</xdr:row>
      <xdr:rowOff>0</xdr:rowOff>
    </xdr:from>
    <xdr:ext cx="4320841" cy="742950"/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4" y="0"/>
          <a:ext cx="4320841" cy="742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tabColor theme="1"/>
    <pageSetUpPr fitToPage="1"/>
  </sheetPr>
  <dimension ref="A1:F282"/>
  <sheetViews>
    <sheetView workbookViewId="0">
      <selection activeCell="C28" sqref="C28"/>
    </sheetView>
  </sheetViews>
  <sheetFormatPr baseColWidth="10" defaultColWidth="11.3984375" defaultRowHeight="12.75" x14ac:dyDescent="0.35"/>
  <cols>
    <col min="1" max="2" width="11.3984375" style="9"/>
    <col min="3" max="3" width="19.86328125" style="9" customWidth="1"/>
    <col min="4" max="4" width="19.1328125" style="9" customWidth="1"/>
    <col min="6" max="6" width="11.3984375" style="8"/>
    <col min="7" max="7" width="11.3984375" style="9"/>
    <col min="8" max="8" width="19.59765625" style="9" customWidth="1"/>
    <col min="9" max="9" width="20.86328125" style="9" customWidth="1"/>
    <col min="10" max="16384" width="11.3984375" style="9"/>
  </cols>
  <sheetData>
    <row r="1" spans="1:6" s="45" customFormat="1" ht="28.5" customHeight="1" thickBot="1" x14ac:dyDescent="0.4">
      <c r="A1" s="46" t="s">
        <v>146</v>
      </c>
      <c r="C1" s="47" t="s">
        <v>159</v>
      </c>
      <c r="D1" s="47" t="s">
        <v>160</v>
      </c>
      <c r="F1" s="71" t="s">
        <v>152</v>
      </c>
    </row>
    <row r="2" spans="1:6" x14ac:dyDescent="0.35">
      <c r="A2" s="39" t="s">
        <v>147</v>
      </c>
      <c r="C2" s="48" t="s">
        <v>161</v>
      </c>
      <c r="D2" s="40"/>
      <c r="F2" s="70" t="s">
        <v>395</v>
      </c>
    </row>
    <row r="3" spans="1:6" x14ac:dyDescent="0.35">
      <c r="A3" s="39" t="s">
        <v>148</v>
      </c>
      <c r="C3" s="49" t="s">
        <v>407</v>
      </c>
      <c r="D3" s="41"/>
      <c r="F3" s="69" t="s">
        <v>396</v>
      </c>
    </row>
    <row r="4" spans="1:6" x14ac:dyDescent="0.35">
      <c r="A4" s="39" t="s">
        <v>149</v>
      </c>
      <c r="C4" s="49" t="s">
        <v>408</v>
      </c>
      <c r="D4" s="41"/>
      <c r="F4" s="69" t="s">
        <v>397</v>
      </c>
    </row>
    <row r="5" spans="1:6" x14ac:dyDescent="0.35">
      <c r="A5" s="39" t="s">
        <v>150</v>
      </c>
      <c r="C5" s="49" t="s">
        <v>409</v>
      </c>
      <c r="D5" s="41"/>
      <c r="F5" s="67">
        <v>1</v>
      </c>
    </row>
    <row r="6" spans="1:6" x14ac:dyDescent="0.35">
      <c r="A6" s="39" t="s">
        <v>151</v>
      </c>
      <c r="C6" s="49" t="s">
        <v>410</v>
      </c>
      <c r="D6" s="41"/>
      <c r="F6" s="67">
        <v>2</v>
      </c>
    </row>
    <row r="7" spans="1:6" x14ac:dyDescent="0.35">
      <c r="A7" s="42"/>
      <c r="C7" s="49" t="s">
        <v>411</v>
      </c>
      <c r="D7" s="41"/>
      <c r="F7" s="67">
        <v>3</v>
      </c>
    </row>
    <row r="8" spans="1:6" x14ac:dyDescent="0.35">
      <c r="A8" s="42"/>
      <c r="C8" s="49" t="s">
        <v>412</v>
      </c>
      <c r="D8" s="41"/>
      <c r="F8" s="67">
        <v>4</v>
      </c>
    </row>
    <row r="9" spans="1:6" ht="13.15" thickBot="1" x14ac:dyDescent="0.4">
      <c r="A9" s="43"/>
      <c r="C9" s="49" t="s">
        <v>413</v>
      </c>
      <c r="D9" s="41"/>
      <c r="F9" s="67">
        <v>5</v>
      </c>
    </row>
    <row r="10" spans="1:6" x14ac:dyDescent="0.35">
      <c r="C10" s="49" t="s">
        <v>414</v>
      </c>
      <c r="D10" s="41"/>
      <c r="F10" s="67">
        <v>6</v>
      </c>
    </row>
    <row r="11" spans="1:6" ht="13.15" thickBot="1" x14ac:dyDescent="0.4">
      <c r="C11" s="50" t="s">
        <v>415</v>
      </c>
      <c r="D11" s="44"/>
      <c r="F11" s="67">
        <v>7</v>
      </c>
    </row>
    <row r="12" spans="1:6" x14ac:dyDescent="0.35">
      <c r="F12" s="67">
        <v>8</v>
      </c>
    </row>
    <row r="13" spans="1:6" x14ac:dyDescent="0.35">
      <c r="F13" s="67">
        <v>9</v>
      </c>
    </row>
    <row r="14" spans="1:6" x14ac:dyDescent="0.35">
      <c r="F14" s="67">
        <v>10</v>
      </c>
    </row>
    <row r="15" spans="1:6" x14ac:dyDescent="0.35">
      <c r="F15" s="67">
        <v>11</v>
      </c>
    </row>
    <row r="16" spans="1:6" x14ac:dyDescent="0.35">
      <c r="F16" s="67">
        <v>12</v>
      </c>
    </row>
    <row r="17" spans="6:6" x14ac:dyDescent="0.35">
      <c r="F17" s="67">
        <v>13</v>
      </c>
    </row>
    <row r="18" spans="6:6" x14ac:dyDescent="0.35">
      <c r="F18" s="67">
        <v>14</v>
      </c>
    </row>
    <row r="19" spans="6:6" x14ac:dyDescent="0.35">
      <c r="F19" s="67">
        <v>15</v>
      </c>
    </row>
    <row r="20" spans="6:6" x14ac:dyDescent="0.35">
      <c r="F20" s="67">
        <v>16</v>
      </c>
    </row>
    <row r="21" spans="6:6" x14ac:dyDescent="0.35">
      <c r="F21" s="67">
        <v>17</v>
      </c>
    </row>
    <row r="22" spans="6:6" x14ac:dyDescent="0.35">
      <c r="F22" s="67">
        <v>18</v>
      </c>
    </row>
    <row r="23" spans="6:6" x14ac:dyDescent="0.35">
      <c r="F23" s="67">
        <v>19</v>
      </c>
    </row>
    <row r="24" spans="6:6" x14ac:dyDescent="0.35">
      <c r="F24" s="67">
        <v>20</v>
      </c>
    </row>
    <row r="25" spans="6:6" x14ac:dyDescent="0.35">
      <c r="F25" s="67">
        <v>21</v>
      </c>
    </row>
    <row r="26" spans="6:6" x14ac:dyDescent="0.35">
      <c r="F26" s="67">
        <v>22</v>
      </c>
    </row>
    <row r="27" spans="6:6" x14ac:dyDescent="0.35">
      <c r="F27" s="67">
        <v>23</v>
      </c>
    </row>
    <row r="28" spans="6:6" x14ac:dyDescent="0.35">
      <c r="F28" s="67">
        <v>24</v>
      </c>
    </row>
    <row r="29" spans="6:6" x14ac:dyDescent="0.35">
      <c r="F29" s="67">
        <v>25</v>
      </c>
    </row>
    <row r="30" spans="6:6" x14ac:dyDescent="0.35">
      <c r="F30" s="67">
        <v>26</v>
      </c>
    </row>
    <row r="31" spans="6:6" x14ac:dyDescent="0.35">
      <c r="F31" s="67">
        <v>27</v>
      </c>
    </row>
    <row r="32" spans="6:6" x14ac:dyDescent="0.35">
      <c r="F32" s="67">
        <v>28</v>
      </c>
    </row>
    <row r="33" spans="6:6" x14ac:dyDescent="0.35">
      <c r="F33" s="67">
        <v>29</v>
      </c>
    </row>
    <row r="34" spans="6:6" x14ac:dyDescent="0.35">
      <c r="F34" s="67">
        <v>30</v>
      </c>
    </row>
    <row r="35" spans="6:6" x14ac:dyDescent="0.35">
      <c r="F35" s="67">
        <v>31</v>
      </c>
    </row>
    <row r="36" spans="6:6" x14ac:dyDescent="0.35">
      <c r="F36" s="67">
        <v>32</v>
      </c>
    </row>
    <row r="37" spans="6:6" x14ac:dyDescent="0.35">
      <c r="F37" s="67">
        <v>33</v>
      </c>
    </row>
    <row r="38" spans="6:6" x14ac:dyDescent="0.35">
      <c r="F38" s="67">
        <v>34</v>
      </c>
    </row>
    <row r="39" spans="6:6" x14ac:dyDescent="0.35">
      <c r="F39" s="67">
        <v>35</v>
      </c>
    </row>
    <row r="40" spans="6:6" x14ac:dyDescent="0.35">
      <c r="F40" s="67">
        <v>36</v>
      </c>
    </row>
    <row r="41" spans="6:6" x14ac:dyDescent="0.35">
      <c r="F41" s="67">
        <v>37</v>
      </c>
    </row>
    <row r="42" spans="6:6" x14ac:dyDescent="0.35">
      <c r="F42" s="67">
        <v>38</v>
      </c>
    </row>
    <row r="43" spans="6:6" x14ac:dyDescent="0.35">
      <c r="F43" s="67">
        <v>39</v>
      </c>
    </row>
    <row r="44" spans="6:6" x14ac:dyDescent="0.35">
      <c r="F44" s="67">
        <v>40</v>
      </c>
    </row>
    <row r="45" spans="6:6" x14ac:dyDescent="0.35">
      <c r="F45" s="67">
        <v>41</v>
      </c>
    </row>
    <row r="46" spans="6:6" x14ac:dyDescent="0.35">
      <c r="F46" s="67">
        <v>42</v>
      </c>
    </row>
    <row r="47" spans="6:6" x14ac:dyDescent="0.35">
      <c r="F47" s="67">
        <v>43</v>
      </c>
    </row>
    <row r="48" spans="6:6" x14ac:dyDescent="0.35">
      <c r="F48" s="67">
        <v>44</v>
      </c>
    </row>
    <row r="49" spans="6:6" x14ac:dyDescent="0.35">
      <c r="F49" s="67">
        <v>45</v>
      </c>
    </row>
    <row r="50" spans="6:6" x14ac:dyDescent="0.35">
      <c r="F50" s="67">
        <v>46</v>
      </c>
    </row>
    <row r="51" spans="6:6" x14ac:dyDescent="0.35">
      <c r="F51" s="67">
        <v>47</v>
      </c>
    </row>
    <row r="52" spans="6:6" x14ac:dyDescent="0.35">
      <c r="F52" s="67">
        <v>48</v>
      </c>
    </row>
    <row r="53" spans="6:6" x14ac:dyDescent="0.35">
      <c r="F53" s="67">
        <v>49</v>
      </c>
    </row>
    <row r="54" spans="6:6" x14ac:dyDescent="0.35">
      <c r="F54" s="67">
        <v>50</v>
      </c>
    </row>
    <row r="55" spans="6:6" x14ac:dyDescent="0.35">
      <c r="F55" s="67">
        <v>51</v>
      </c>
    </row>
    <row r="56" spans="6:6" x14ac:dyDescent="0.35">
      <c r="F56" s="67">
        <v>52</v>
      </c>
    </row>
    <row r="57" spans="6:6" x14ac:dyDescent="0.35">
      <c r="F57" s="67">
        <v>53</v>
      </c>
    </row>
    <row r="58" spans="6:6" x14ac:dyDescent="0.35">
      <c r="F58" s="67">
        <v>54</v>
      </c>
    </row>
    <row r="59" spans="6:6" x14ac:dyDescent="0.35">
      <c r="F59" s="67">
        <v>55</v>
      </c>
    </row>
    <row r="60" spans="6:6" x14ac:dyDescent="0.35">
      <c r="F60" s="67">
        <v>56</v>
      </c>
    </row>
    <row r="61" spans="6:6" x14ac:dyDescent="0.35">
      <c r="F61" s="67">
        <v>57</v>
      </c>
    </row>
    <row r="62" spans="6:6" x14ac:dyDescent="0.35">
      <c r="F62" s="67">
        <v>58</v>
      </c>
    </row>
    <row r="63" spans="6:6" x14ac:dyDescent="0.35">
      <c r="F63" s="67">
        <v>59</v>
      </c>
    </row>
    <row r="64" spans="6:6" ht="13.15" thickBot="1" x14ac:dyDescent="0.4">
      <c r="F64" s="68">
        <v>60</v>
      </c>
    </row>
    <row r="125" spans="4:4" x14ac:dyDescent="0.35">
      <c r="D125"/>
    </row>
    <row r="126" spans="4:4" x14ac:dyDescent="0.35">
      <c r="D126"/>
    </row>
    <row r="127" spans="4:4" x14ac:dyDescent="0.35">
      <c r="D127"/>
    </row>
    <row r="128" spans="4:4" x14ac:dyDescent="0.35">
      <c r="D128"/>
    </row>
    <row r="129" spans="4:4" x14ac:dyDescent="0.35">
      <c r="D129"/>
    </row>
    <row r="130" spans="4:4" x14ac:dyDescent="0.35">
      <c r="D130"/>
    </row>
    <row r="131" spans="4:4" x14ac:dyDescent="0.35">
      <c r="D131"/>
    </row>
    <row r="132" spans="4:4" x14ac:dyDescent="0.35">
      <c r="D132"/>
    </row>
    <row r="133" spans="4:4" x14ac:dyDescent="0.35">
      <c r="D133"/>
    </row>
    <row r="134" spans="4:4" x14ac:dyDescent="0.35">
      <c r="D134"/>
    </row>
    <row r="135" spans="4:4" x14ac:dyDescent="0.35">
      <c r="D135"/>
    </row>
    <row r="136" spans="4:4" x14ac:dyDescent="0.35">
      <c r="D136"/>
    </row>
    <row r="137" spans="4:4" x14ac:dyDescent="0.35">
      <c r="D137"/>
    </row>
    <row r="138" spans="4:4" x14ac:dyDescent="0.35">
      <c r="D138"/>
    </row>
    <row r="139" spans="4:4" x14ac:dyDescent="0.35">
      <c r="D139"/>
    </row>
    <row r="140" spans="4:4" x14ac:dyDescent="0.35">
      <c r="D140"/>
    </row>
    <row r="141" spans="4:4" x14ac:dyDescent="0.35">
      <c r="D141"/>
    </row>
    <row r="142" spans="4:4" x14ac:dyDescent="0.35">
      <c r="D142"/>
    </row>
    <row r="143" spans="4:4" x14ac:dyDescent="0.35">
      <c r="D143"/>
    </row>
    <row r="144" spans="4:4" x14ac:dyDescent="0.35">
      <c r="D144"/>
    </row>
    <row r="145" spans="4:4" x14ac:dyDescent="0.35">
      <c r="D145"/>
    </row>
    <row r="146" spans="4:4" x14ac:dyDescent="0.35">
      <c r="D146"/>
    </row>
    <row r="147" spans="4:4" x14ac:dyDescent="0.35">
      <c r="D147"/>
    </row>
    <row r="148" spans="4:4" x14ac:dyDescent="0.35">
      <c r="D148"/>
    </row>
    <row r="149" spans="4:4" x14ac:dyDescent="0.35">
      <c r="D149"/>
    </row>
    <row r="150" spans="4:4" x14ac:dyDescent="0.35">
      <c r="D150"/>
    </row>
    <row r="151" spans="4:4" x14ac:dyDescent="0.35">
      <c r="D151"/>
    </row>
    <row r="152" spans="4:4" x14ac:dyDescent="0.35">
      <c r="D152"/>
    </row>
    <row r="153" spans="4:4" x14ac:dyDescent="0.35">
      <c r="D153"/>
    </row>
    <row r="154" spans="4:4" x14ac:dyDescent="0.35">
      <c r="D154"/>
    </row>
    <row r="155" spans="4:4" x14ac:dyDescent="0.35">
      <c r="D155"/>
    </row>
    <row r="156" spans="4:4" x14ac:dyDescent="0.35">
      <c r="D156"/>
    </row>
    <row r="157" spans="4:4" x14ac:dyDescent="0.35">
      <c r="D157"/>
    </row>
    <row r="158" spans="4:4" x14ac:dyDescent="0.35">
      <c r="D158"/>
    </row>
    <row r="159" spans="4:4" x14ac:dyDescent="0.35">
      <c r="D159"/>
    </row>
    <row r="160" spans="4:4" x14ac:dyDescent="0.35">
      <c r="D160"/>
    </row>
    <row r="161" spans="4:4" x14ac:dyDescent="0.35">
      <c r="D161"/>
    </row>
    <row r="162" spans="4:4" x14ac:dyDescent="0.35">
      <c r="D162"/>
    </row>
    <row r="163" spans="4:4" x14ac:dyDescent="0.35">
      <c r="D163"/>
    </row>
    <row r="164" spans="4:4" x14ac:dyDescent="0.35">
      <c r="D164"/>
    </row>
    <row r="165" spans="4:4" x14ac:dyDescent="0.35">
      <c r="D165"/>
    </row>
    <row r="166" spans="4:4" x14ac:dyDescent="0.35">
      <c r="D166"/>
    </row>
    <row r="167" spans="4:4" x14ac:dyDescent="0.35">
      <c r="D167"/>
    </row>
    <row r="168" spans="4:4" x14ac:dyDescent="0.35">
      <c r="D168"/>
    </row>
    <row r="169" spans="4:4" x14ac:dyDescent="0.35">
      <c r="D169"/>
    </row>
    <row r="170" spans="4:4" x14ac:dyDescent="0.35">
      <c r="D170"/>
    </row>
    <row r="171" spans="4:4" x14ac:dyDescent="0.35">
      <c r="D171"/>
    </row>
    <row r="172" spans="4:4" x14ac:dyDescent="0.35">
      <c r="D172"/>
    </row>
    <row r="173" spans="4:4" x14ac:dyDescent="0.35">
      <c r="D173"/>
    </row>
    <row r="174" spans="4:4" x14ac:dyDescent="0.35">
      <c r="D174"/>
    </row>
    <row r="175" spans="4:4" x14ac:dyDescent="0.35">
      <c r="D175"/>
    </row>
    <row r="176" spans="4:4" x14ac:dyDescent="0.35">
      <c r="D176"/>
    </row>
    <row r="177" spans="4:4" x14ac:dyDescent="0.35">
      <c r="D177"/>
    </row>
    <row r="178" spans="4:4" x14ac:dyDescent="0.35">
      <c r="D178"/>
    </row>
    <row r="179" spans="4:4" x14ac:dyDescent="0.35">
      <c r="D179"/>
    </row>
    <row r="180" spans="4:4" x14ac:dyDescent="0.35">
      <c r="D180"/>
    </row>
    <row r="181" spans="4:4" x14ac:dyDescent="0.35">
      <c r="D181"/>
    </row>
    <row r="182" spans="4:4" x14ac:dyDescent="0.35">
      <c r="D182"/>
    </row>
    <row r="183" spans="4:4" x14ac:dyDescent="0.35">
      <c r="D183"/>
    </row>
    <row r="184" spans="4:4" x14ac:dyDescent="0.35">
      <c r="D184"/>
    </row>
    <row r="185" spans="4:4" x14ac:dyDescent="0.35">
      <c r="D185"/>
    </row>
    <row r="186" spans="4:4" x14ac:dyDescent="0.35">
      <c r="D186"/>
    </row>
    <row r="187" spans="4:4" x14ac:dyDescent="0.35">
      <c r="D187"/>
    </row>
    <row r="188" spans="4:4" x14ac:dyDescent="0.35">
      <c r="D188"/>
    </row>
    <row r="189" spans="4:4" x14ac:dyDescent="0.35">
      <c r="D189"/>
    </row>
    <row r="190" spans="4:4" x14ac:dyDescent="0.35">
      <c r="D190"/>
    </row>
    <row r="191" spans="4:4" x14ac:dyDescent="0.35">
      <c r="D191"/>
    </row>
    <row r="192" spans="4:4" x14ac:dyDescent="0.35">
      <c r="D192"/>
    </row>
    <row r="193" spans="4:4" x14ac:dyDescent="0.35">
      <c r="D193"/>
    </row>
    <row r="194" spans="4:4" x14ac:dyDescent="0.35">
      <c r="D194"/>
    </row>
    <row r="195" spans="4:4" x14ac:dyDescent="0.35">
      <c r="D195"/>
    </row>
    <row r="196" spans="4:4" x14ac:dyDescent="0.35">
      <c r="D196"/>
    </row>
    <row r="197" spans="4:4" x14ac:dyDescent="0.35">
      <c r="D197"/>
    </row>
    <row r="198" spans="4:4" x14ac:dyDescent="0.35">
      <c r="D198"/>
    </row>
    <row r="199" spans="4:4" x14ac:dyDescent="0.35">
      <c r="D199"/>
    </row>
    <row r="200" spans="4:4" x14ac:dyDescent="0.35">
      <c r="D200"/>
    </row>
    <row r="201" spans="4:4" x14ac:dyDescent="0.35">
      <c r="D201"/>
    </row>
    <row r="202" spans="4:4" x14ac:dyDescent="0.35">
      <c r="D202"/>
    </row>
    <row r="203" spans="4:4" x14ac:dyDescent="0.35">
      <c r="D203"/>
    </row>
    <row r="204" spans="4:4" x14ac:dyDescent="0.35">
      <c r="D204"/>
    </row>
    <row r="205" spans="4:4" x14ac:dyDescent="0.35">
      <c r="D205"/>
    </row>
    <row r="206" spans="4:4" x14ac:dyDescent="0.35">
      <c r="D206"/>
    </row>
    <row r="207" spans="4:4" x14ac:dyDescent="0.35">
      <c r="D207"/>
    </row>
    <row r="208" spans="4:4" x14ac:dyDescent="0.35">
      <c r="D208"/>
    </row>
    <row r="209" spans="4:4" x14ac:dyDescent="0.35">
      <c r="D209"/>
    </row>
    <row r="210" spans="4:4" x14ac:dyDescent="0.35">
      <c r="D210"/>
    </row>
    <row r="211" spans="4:4" x14ac:dyDescent="0.35">
      <c r="D211"/>
    </row>
    <row r="212" spans="4:4" x14ac:dyDescent="0.35">
      <c r="D212"/>
    </row>
    <row r="213" spans="4:4" x14ac:dyDescent="0.35">
      <c r="D213"/>
    </row>
    <row r="214" spans="4:4" x14ac:dyDescent="0.35">
      <c r="D214"/>
    </row>
    <row r="215" spans="4:4" x14ac:dyDescent="0.35">
      <c r="D215"/>
    </row>
    <row r="216" spans="4:4" x14ac:dyDescent="0.35">
      <c r="D216"/>
    </row>
    <row r="217" spans="4:4" x14ac:dyDescent="0.35">
      <c r="D217"/>
    </row>
    <row r="218" spans="4:4" x14ac:dyDescent="0.35">
      <c r="D218"/>
    </row>
    <row r="219" spans="4:4" x14ac:dyDescent="0.35">
      <c r="D219"/>
    </row>
    <row r="220" spans="4:4" x14ac:dyDescent="0.35">
      <c r="D220"/>
    </row>
    <row r="221" spans="4:4" x14ac:dyDescent="0.35">
      <c r="D221"/>
    </row>
    <row r="222" spans="4:4" x14ac:dyDescent="0.35">
      <c r="D222"/>
    </row>
    <row r="223" spans="4:4" x14ac:dyDescent="0.35">
      <c r="D223"/>
    </row>
    <row r="224" spans="4:4" x14ac:dyDescent="0.35">
      <c r="D224"/>
    </row>
    <row r="225" spans="4:4" x14ac:dyDescent="0.35">
      <c r="D225"/>
    </row>
    <row r="226" spans="4:4" x14ac:dyDescent="0.35">
      <c r="D226"/>
    </row>
    <row r="227" spans="4:4" x14ac:dyDescent="0.35">
      <c r="D227"/>
    </row>
    <row r="228" spans="4:4" x14ac:dyDescent="0.35">
      <c r="D228"/>
    </row>
    <row r="229" spans="4:4" x14ac:dyDescent="0.35">
      <c r="D229"/>
    </row>
    <row r="230" spans="4:4" x14ac:dyDescent="0.35">
      <c r="D230"/>
    </row>
    <row r="231" spans="4:4" x14ac:dyDescent="0.35">
      <c r="D231"/>
    </row>
    <row r="232" spans="4:4" x14ac:dyDescent="0.35">
      <c r="D232"/>
    </row>
    <row r="233" spans="4:4" x14ac:dyDescent="0.35">
      <c r="D233"/>
    </row>
    <row r="234" spans="4:4" x14ac:dyDescent="0.35">
      <c r="D234"/>
    </row>
    <row r="235" spans="4:4" x14ac:dyDescent="0.35">
      <c r="D235"/>
    </row>
    <row r="236" spans="4:4" x14ac:dyDescent="0.35">
      <c r="D236"/>
    </row>
    <row r="237" spans="4:4" x14ac:dyDescent="0.35">
      <c r="D237"/>
    </row>
    <row r="238" spans="4:4" x14ac:dyDescent="0.35">
      <c r="D238"/>
    </row>
    <row r="239" spans="4:4" x14ac:dyDescent="0.35">
      <c r="D239"/>
    </row>
    <row r="240" spans="4:4" x14ac:dyDescent="0.35">
      <c r="D240"/>
    </row>
    <row r="241" spans="4:4" x14ac:dyDescent="0.35">
      <c r="D241"/>
    </row>
    <row r="242" spans="4:4" x14ac:dyDescent="0.35">
      <c r="D242"/>
    </row>
    <row r="243" spans="4:4" x14ac:dyDescent="0.35">
      <c r="D243"/>
    </row>
    <row r="244" spans="4:4" x14ac:dyDescent="0.35">
      <c r="D244"/>
    </row>
    <row r="245" spans="4:4" x14ac:dyDescent="0.35">
      <c r="D245"/>
    </row>
    <row r="246" spans="4:4" x14ac:dyDescent="0.35">
      <c r="D246"/>
    </row>
    <row r="247" spans="4:4" x14ac:dyDescent="0.35">
      <c r="D247"/>
    </row>
    <row r="248" spans="4:4" x14ac:dyDescent="0.35">
      <c r="D248"/>
    </row>
    <row r="249" spans="4:4" x14ac:dyDescent="0.35">
      <c r="D249"/>
    </row>
    <row r="250" spans="4:4" x14ac:dyDescent="0.35">
      <c r="D250"/>
    </row>
    <row r="251" spans="4:4" x14ac:dyDescent="0.35">
      <c r="D251"/>
    </row>
    <row r="252" spans="4:4" x14ac:dyDescent="0.35">
      <c r="D252"/>
    </row>
    <row r="253" spans="4:4" x14ac:dyDescent="0.35">
      <c r="D253"/>
    </row>
    <row r="254" spans="4:4" x14ac:dyDescent="0.35">
      <c r="D254"/>
    </row>
    <row r="255" spans="4:4" x14ac:dyDescent="0.35">
      <c r="D255"/>
    </row>
    <row r="256" spans="4:4" x14ac:dyDescent="0.35">
      <c r="D256"/>
    </row>
    <row r="257" spans="4:4" x14ac:dyDescent="0.35">
      <c r="D257"/>
    </row>
    <row r="258" spans="4:4" x14ac:dyDescent="0.35">
      <c r="D258"/>
    </row>
    <row r="259" spans="4:4" x14ac:dyDescent="0.35">
      <c r="D259"/>
    </row>
    <row r="260" spans="4:4" x14ac:dyDescent="0.35">
      <c r="D260"/>
    </row>
    <row r="261" spans="4:4" x14ac:dyDescent="0.35">
      <c r="D261"/>
    </row>
    <row r="262" spans="4:4" x14ac:dyDescent="0.35">
      <c r="D262"/>
    </row>
    <row r="263" spans="4:4" x14ac:dyDescent="0.35">
      <c r="D263"/>
    </row>
    <row r="264" spans="4:4" x14ac:dyDescent="0.35">
      <c r="D264"/>
    </row>
    <row r="265" spans="4:4" x14ac:dyDescent="0.35">
      <c r="D265"/>
    </row>
    <row r="266" spans="4:4" x14ac:dyDescent="0.35">
      <c r="D266"/>
    </row>
    <row r="267" spans="4:4" x14ac:dyDescent="0.35">
      <c r="D267"/>
    </row>
    <row r="268" spans="4:4" x14ac:dyDescent="0.35">
      <c r="D268"/>
    </row>
    <row r="269" spans="4:4" x14ac:dyDescent="0.35">
      <c r="D269"/>
    </row>
    <row r="270" spans="4:4" x14ac:dyDescent="0.35">
      <c r="D270"/>
    </row>
    <row r="271" spans="4:4" x14ac:dyDescent="0.35">
      <c r="D271"/>
    </row>
    <row r="272" spans="4:4" x14ac:dyDescent="0.35">
      <c r="D272"/>
    </row>
    <row r="273" spans="4:4" x14ac:dyDescent="0.35">
      <c r="D273"/>
    </row>
    <row r="274" spans="4:4" x14ac:dyDescent="0.35">
      <c r="D274"/>
    </row>
    <row r="275" spans="4:4" x14ac:dyDescent="0.35">
      <c r="D275"/>
    </row>
    <row r="276" spans="4:4" x14ac:dyDescent="0.35">
      <c r="D276"/>
    </row>
    <row r="277" spans="4:4" x14ac:dyDescent="0.35">
      <c r="D277"/>
    </row>
    <row r="278" spans="4:4" x14ac:dyDescent="0.35">
      <c r="D278"/>
    </row>
    <row r="279" spans="4:4" x14ac:dyDescent="0.35">
      <c r="D279"/>
    </row>
    <row r="280" spans="4:4" x14ac:dyDescent="0.35">
      <c r="D280"/>
    </row>
    <row r="281" spans="4:4" x14ac:dyDescent="0.35">
      <c r="D281"/>
    </row>
    <row r="282" spans="4:4" x14ac:dyDescent="0.35">
      <c r="D282"/>
    </row>
  </sheetData>
  <sheetProtection sheet="1" objects="1" scenarios="1"/>
  <pageMargins left="0.19685039370078741" right="0.19685039370078741" top="0.19685039370078741" bottom="0.19685039370078741" header="0" footer="0"/>
  <pageSetup paperSize="9" fitToHeight="0" orientation="landscape" r:id="rId1"/>
  <headerFooter alignWithMargins="0">
    <oddHeader>&amp;C&amp;"Arial Black"&amp;20Grand prix Oyeu-Burcin 2026</oddHeader>
    <oddFooter>&amp;C&amp;"Arial"&amp;G&amp;12AB =&gt; abandon        NC =&gt; non classé, arrivée en peloton        NP =&gt; non partant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7">
    <tabColor theme="9" tint="-0.249977111117893"/>
    <pageSetUpPr fitToPage="1"/>
  </sheetPr>
  <dimension ref="A1:I26"/>
  <sheetViews>
    <sheetView showGridLines="0" showRowColHeaders="0" tabSelected="1" zoomScale="114" zoomScaleNormal="114" workbookViewId="0">
      <selection activeCell="D1" sqref="D1"/>
    </sheetView>
  </sheetViews>
  <sheetFormatPr baseColWidth="10" defaultColWidth="11.3984375" defaultRowHeight="12.75" x14ac:dyDescent="0.35"/>
  <cols>
    <col min="1" max="1" width="12.73046875" style="4" customWidth="1"/>
    <col min="2" max="2" width="12.73046875" style="2" customWidth="1"/>
    <col min="3" max="3" width="12.73046875" style="3" customWidth="1"/>
    <col min="4" max="6" width="12.73046875" style="4" customWidth="1"/>
    <col min="7" max="7" width="12.73046875" style="5" customWidth="1"/>
    <col min="8" max="8" width="47.73046875" style="5" customWidth="1"/>
    <col min="9" max="9" width="6.1328125" style="4" customWidth="1"/>
    <col min="10" max="16384" width="11.3984375" style="2"/>
  </cols>
  <sheetData>
    <row r="1" spans="1:7" ht="55.5" customHeight="1" x14ac:dyDescent="0.35">
      <c r="A1" s="6"/>
      <c r="B1" s="59"/>
      <c r="C1" s="59"/>
      <c r="D1" s="59"/>
      <c r="E1" s="59"/>
      <c r="F1" s="59"/>
      <c r="G1" s="59"/>
    </row>
    <row r="2" spans="1:7" ht="9.75" customHeight="1" thickBot="1" x14ac:dyDescent="0.4"/>
    <row r="3" spans="1:7" ht="13.15" x14ac:dyDescent="0.35">
      <c r="B3" s="1" t="s">
        <v>166</v>
      </c>
      <c r="C3" s="117"/>
      <c r="D3" s="120" t="s">
        <v>647</v>
      </c>
      <c r="E3" s="120"/>
      <c r="F3" s="121"/>
      <c r="G3" s="57"/>
    </row>
    <row r="4" spans="1:7" ht="13.5" thickBot="1" x14ac:dyDescent="0.4">
      <c r="B4" s="118"/>
      <c r="C4" s="119"/>
      <c r="D4" s="122"/>
      <c r="E4" s="122"/>
      <c r="F4" s="123"/>
      <c r="G4" s="57"/>
    </row>
    <row r="11" spans="1:7" x14ac:dyDescent="0.35">
      <c r="A11" s="2"/>
      <c r="C11" s="124" t="s">
        <v>163</v>
      </c>
      <c r="D11" s="124"/>
      <c r="E11" s="125">
        <f>SUM(C13,C15,C17,C19,C21,F13,F15,F17,F19)</f>
        <v>103</v>
      </c>
    </row>
    <row r="12" spans="1:7" ht="23.25" customHeight="1" x14ac:dyDescent="0.35">
      <c r="A12" s="2"/>
      <c r="C12" s="124"/>
      <c r="D12" s="124"/>
      <c r="E12" s="125"/>
    </row>
    <row r="13" spans="1:7" ht="12.75" customHeight="1" x14ac:dyDescent="0.35">
      <c r="A13" s="2"/>
      <c r="B13" s="56" t="s">
        <v>398</v>
      </c>
      <c r="C13" s="38">
        <f>'U1'!$C$1</f>
        <v>19</v>
      </c>
      <c r="D13" s="2"/>
      <c r="E13" s="56" t="s">
        <v>403</v>
      </c>
      <c r="F13" s="38">
        <f>H15_16!$C$1</f>
        <v>6</v>
      </c>
      <c r="G13" s="2"/>
    </row>
    <row r="14" spans="1:7" ht="12.75" customHeight="1" x14ac:dyDescent="0.35">
      <c r="A14" s="2"/>
      <c r="B14" s="56"/>
      <c r="C14" s="38"/>
      <c r="D14" s="2"/>
      <c r="E14" s="56"/>
      <c r="F14" s="38"/>
      <c r="G14" s="2"/>
    </row>
    <row r="15" spans="1:7" ht="12.75" customHeight="1" x14ac:dyDescent="0.35">
      <c r="A15" s="2"/>
      <c r="B15" s="56" t="s">
        <v>399</v>
      </c>
      <c r="C15" s="38">
        <f>'U2'!$C$1</f>
        <v>29</v>
      </c>
      <c r="D15" s="2"/>
      <c r="E15" s="56" t="s">
        <v>404</v>
      </c>
      <c r="F15" s="38">
        <f>F15_16!$C$1</f>
        <v>0</v>
      </c>
      <c r="G15" s="2"/>
    </row>
    <row r="16" spans="1:7" ht="12.75" customHeight="1" x14ac:dyDescent="0.35">
      <c r="A16" s="2"/>
      <c r="B16" s="56"/>
      <c r="C16" s="38"/>
      <c r="D16" s="2"/>
      <c r="E16" s="56"/>
      <c r="F16" s="38"/>
      <c r="G16" s="2"/>
    </row>
    <row r="17" spans="1:9" ht="12.75" customHeight="1" x14ac:dyDescent="0.35">
      <c r="A17" s="2"/>
      <c r="B17" s="56" t="s">
        <v>400</v>
      </c>
      <c r="C17" s="38">
        <f>'U3'!$C$1</f>
        <v>28</v>
      </c>
      <c r="D17" s="2"/>
      <c r="E17" s="56" t="s">
        <v>405</v>
      </c>
      <c r="F17" s="38">
        <f>H13_14!$C$1</f>
        <v>1</v>
      </c>
      <c r="G17" s="2"/>
    </row>
    <row r="18" spans="1:9" ht="12.75" customHeight="1" x14ac:dyDescent="0.35">
      <c r="A18" s="2"/>
      <c r="B18" s="56"/>
      <c r="C18" s="38"/>
      <c r="D18" s="2"/>
      <c r="E18" s="58"/>
      <c r="F18" s="76"/>
      <c r="G18" s="58"/>
    </row>
    <row r="19" spans="1:9" ht="12.75" customHeight="1" x14ac:dyDescent="0.35">
      <c r="A19" s="2"/>
      <c r="B19" s="56" t="s">
        <v>401</v>
      </c>
      <c r="C19" s="38">
        <f>'U4'!$C$1</f>
        <v>15</v>
      </c>
      <c r="D19" s="2"/>
      <c r="E19" s="56" t="s">
        <v>406</v>
      </c>
      <c r="F19" s="38">
        <f>F13_14!$C$1</f>
        <v>0</v>
      </c>
    </row>
    <row r="20" spans="1:9" ht="12.75" customHeight="1" x14ac:dyDescent="0.35">
      <c r="A20" s="2"/>
      <c r="B20" s="74"/>
      <c r="C20" s="76"/>
      <c r="D20" s="58"/>
      <c r="E20" s="58"/>
      <c r="F20" s="28"/>
    </row>
    <row r="21" spans="1:9" ht="12.75" customHeight="1" x14ac:dyDescent="0.35">
      <c r="A21" s="2"/>
      <c r="B21" s="56" t="s">
        <v>402</v>
      </c>
      <c r="C21" s="38">
        <f>UFEM!$C$1</f>
        <v>5</v>
      </c>
      <c r="D21" s="2"/>
      <c r="E21" s="58"/>
      <c r="F21" s="28"/>
    </row>
    <row r="22" spans="1:9" ht="12.75" customHeight="1" x14ac:dyDescent="0.35">
      <c r="A22" s="2"/>
      <c r="C22" s="2"/>
      <c r="D22" s="2"/>
      <c r="E22" s="58"/>
    </row>
    <row r="23" spans="1:9" ht="12.75" customHeight="1" x14ac:dyDescent="0.35">
      <c r="A23" s="2"/>
      <c r="C23" s="58"/>
      <c r="D23" s="58"/>
      <c r="E23" s="58"/>
    </row>
    <row r="24" spans="1:9" ht="12.75" customHeight="1" x14ac:dyDescent="0.35">
      <c r="A24" s="2"/>
      <c r="C24" s="58"/>
      <c r="D24" s="58"/>
      <c r="E24" s="58"/>
    </row>
    <row r="25" spans="1:9" ht="12.75" customHeight="1" x14ac:dyDescent="0.35">
      <c r="A25" s="2"/>
      <c r="C25" s="58"/>
      <c r="D25" s="58"/>
      <c r="E25" s="58"/>
    </row>
    <row r="26" spans="1:9" ht="12.75" customHeight="1" x14ac:dyDescent="0.35">
      <c r="A26" s="5"/>
      <c r="B26" s="5"/>
      <c r="C26" s="4"/>
      <c r="D26" s="2"/>
      <c r="E26" s="2"/>
      <c r="F26" s="2"/>
      <c r="G26" s="2"/>
      <c r="H26" s="2"/>
      <c r="I26" s="2"/>
    </row>
  </sheetData>
  <sheetProtection sheet="1" objects="1" scenarios="1"/>
  <mergeCells count="4">
    <mergeCell ref="B3:C4"/>
    <mergeCell ref="D3:F4"/>
    <mergeCell ref="C11:D12"/>
    <mergeCell ref="E11:E12"/>
  </mergeCells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landscape" horizontalDpi="4294967293" r:id="rId1"/>
  <headerFooter>
    <oddHeader>&amp;C&amp;"Arial Black"&amp;20Grand prix Oyeu-Burcin 2026</oddHeader>
    <oddFooter>&amp;C&amp;"Arial"&amp;G&amp;12AB =&gt; abandon        NC =&gt; non classé, arrivée en peloton        NP =&gt; non partant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lassement">
                <anchor moveWithCells="1" sizeWithCells="1">
                  <from>
                    <xdr:col>0</xdr:col>
                    <xdr:colOff>257175</xdr:colOff>
                    <xdr:row>6</xdr:row>
                    <xdr:rowOff>9525</xdr:rowOff>
                  </from>
                  <to>
                    <xdr:col>2</xdr:col>
                    <xdr:colOff>0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RAZ">
                <anchor moveWithCells="1" sizeWithCells="1">
                  <from>
                    <xdr:col>5</xdr:col>
                    <xdr:colOff>542925</xdr:colOff>
                    <xdr:row>21</xdr:row>
                    <xdr:rowOff>161925</xdr:rowOff>
                  </from>
                  <to>
                    <xdr:col>6</xdr:col>
                    <xdr:colOff>609600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UF">
                <anchor moveWithCells="1" sizeWithCells="1">
                  <from>
                    <xdr:col>2</xdr:col>
                    <xdr:colOff>542925</xdr:colOff>
                    <xdr:row>6</xdr:row>
                    <xdr:rowOff>9525</xdr:rowOff>
                  </from>
                  <to>
                    <xdr:col>4</xdr:col>
                    <xdr:colOff>285750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_xludf.Help">
                <anchor moveWithCells="1" sizeWithCells="1">
                  <from>
                    <xdr:col>0</xdr:col>
                    <xdr:colOff>304800</xdr:colOff>
                    <xdr:row>21</xdr:row>
                    <xdr:rowOff>161925</xdr:rowOff>
                  </from>
                  <to>
                    <xdr:col>1</xdr:col>
                    <xdr:colOff>485775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APAC">
                <anchor moveWithCells="1" sizeWithCells="1">
                  <from>
                    <xdr:col>1</xdr:col>
                    <xdr:colOff>847725</xdr:colOff>
                    <xdr:row>21</xdr:row>
                    <xdr:rowOff>161925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>
    <tabColor theme="5" tint="0.39997558519241921"/>
    <pageSetUpPr fitToPage="1"/>
  </sheetPr>
  <dimension ref="A1:J62"/>
  <sheetViews>
    <sheetView showGridLines="0" showRowColHeaders="0" topLeftCell="A2" zoomScaleNormal="100" workbookViewId="0"/>
  </sheetViews>
  <sheetFormatPr baseColWidth="10" defaultColWidth="11.3984375" defaultRowHeight="12.75" x14ac:dyDescent="0.35"/>
  <cols>
    <col min="1" max="1" width="7.59765625" style="8" customWidth="1"/>
    <col min="2" max="2" width="14.1328125" style="8" bestFit="1" customWidth="1"/>
    <col min="3" max="3" width="10.59765625" style="9" bestFit="1" customWidth="1"/>
    <col min="4" max="4" width="16.1328125" style="24" customWidth="1"/>
    <col min="5" max="5" width="13" style="8" bestFit="1" customWidth="1"/>
    <col min="6" max="6" width="15.265625" style="8" bestFit="1" customWidth="1"/>
    <col min="7" max="8" width="22.73046875" style="7" customWidth="1"/>
    <col min="9" max="9" width="47.73046875" style="7" customWidth="1"/>
    <col min="10" max="10" width="20.73046875" style="8" customWidth="1"/>
    <col min="11" max="16384" width="11.3984375" style="9"/>
  </cols>
  <sheetData>
    <row r="1" spans="1:10" s="29" customFormat="1" ht="91.9" customHeight="1" thickBot="1" x14ac:dyDescent="0.4">
      <c r="A1" s="28"/>
      <c r="B1" s="25" t="s">
        <v>164</v>
      </c>
      <c r="C1" s="26">
        <f>COUNTA(G3:G62)-COUNTIF(B3:B62,"NP")</f>
        <v>19</v>
      </c>
      <c r="D1" s="126"/>
      <c r="E1" s="126"/>
      <c r="F1" s="126"/>
      <c r="G1" s="126"/>
      <c r="H1" s="126"/>
      <c r="I1" s="27"/>
      <c r="J1" s="28"/>
    </row>
    <row r="2" spans="1:10" s="34" customFormat="1" ht="24.95" customHeight="1" x14ac:dyDescent="0.35">
      <c r="A2" s="73" t="s">
        <v>193</v>
      </c>
      <c r="B2" s="30" t="s">
        <v>143</v>
      </c>
      <c r="C2" s="31" t="s">
        <v>140</v>
      </c>
      <c r="D2" s="32" t="s">
        <v>141</v>
      </c>
      <c r="E2" s="31" t="s">
        <v>144</v>
      </c>
      <c r="F2" s="31" t="s">
        <v>145</v>
      </c>
      <c r="G2" s="66" t="s">
        <v>142</v>
      </c>
      <c r="H2" s="31" t="s">
        <v>192</v>
      </c>
      <c r="I2" s="31" t="s">
        <v>1</v>
      </c>
      <c r="J2" s="33" t="s">
        <v>153</v>
      </c>
    </row>
    <row r="3" spans="1:10" ht="24.95" customHeight="1" x14ac:dyDescent="0.35">
      <c r="A3" s="70"/>
      <c r="B3" s="55">
        <v>10</v>
      </c>
      <c r="C3" s="10">
        <v>1</v>
      </c>
      <c r="D3" s="18" t="s">
        <v>658</v>
      </c>
      <c r="E3" s="12"/>
      <c r="F3" s="13"/>
      <c r="G3" s="15" t="s">
        <v>657</v>
      </c>
      <c r="H3" s="14"/>
      <c r="I3" s="14" t="s">
        <v>563</v>
      </c>
      <c r="J3" s="51"/>
    </row>
    <row r="4" spans="1:10" ht="24.95" customHeight="1" x14ac:dyDescent="0.35">
      <c r="A4" s="69"/>
      <c r="B4" s="55" t="s">
        <v>395</v>
      </c>
      <c r="C4" s="10">
        <v>2</v>
      </c>
      <c r="D4" s="18"/>
      <c r="E4" s="12"/>
      <c r="F4" s="13"/>
      <c r="G4" s="15" t="s">
        <v>659</v>
      </c>
      <c r="H4" s="15"/>
      <c r="I4" s="15" t="s">
        <v>660</v>
      </c>
      <c r="J4" s="52"/>
    </row>
    <row r="5" spans="1:10" ht="24.95" customHeight="1" x14ac:dyDescent="0.35">
      <c r="A5" s="69"/>
      <c r="B5" s="97" t="s">
        <v>397</v>
      </c>
      <c r="C5" s="10">
        <v>3</v>
      </c>
      <c r="D5" s="18"/>
      <c r="E5" s="12"/>
      <c r="F5" s="13"/>
      <c r="G5" s="15" t="s">
        <v>661</v>
      </c>
      <c r="H5" s="14"/>
      <c r="I5" s="15" t="s">
        <v>662</v>
      </c>
      <c r="J5" s="52"/>
    </row>
    <row r="6" spans="1:10" ht="24.95" customHeight="1" x14ac:dyDescent="0.35">
      <c r="A6" s="69"/>
      <c r="B6" s="55">
        <v>5</v>
      </c>
      <c r="C6" s="10">
        <v>4</v>
      </c>
      <c r="D6" s="18"/>
      <c r="E6" s="12"/>
      <c r="F6" s="13"/>
      <c r="G6" s="16" t="s">
        <v>663</v>
      </c>
      <c r="H6" s="16"/>
      <c r="I6" s="16" t="s">
        <v>565</v>
      </c>
      <c r="J6" s="52"/>
    </row>
    <row r="7" spans="1:10" ht="24.95" customHeight="1" x14ac:dyDescent="0.35">
      <c r="A7" s="69"/>
      <c r="B7" s="97">
        <v>11</v>
      </c>
      <c r="C7" s="10">
        <v>5</v>
      </c>
      <c r="D7" s="18" t="s">
        <v>665</v>
      </c>
      <c r="E7" s="12"/>
      <c r="F7" s="13"/>
      <c r="G7" s="15" t="s">
        <v>664</v>
      </c>
      <c r="H7" s="15"/>
      <c r="I7" s="15" t="s">
        <v>577</v>
      </c>
      <c r="J7" s="53"/>
    </row>
    <row r="8" spans="1:10" ht="24.95" customHeight="1" x14ac:dyDescent="0.35">
      <c r="A8" s="69"/>
      <c r="B8" s="55">
        <v>8</v>
      </c>
      <c r="C8" s="10">
        <v>6</v>
      </c>
      <c r="D8" s="18"/>
      <c r="E8" s="12"/>
      <c r="F8" s="13"/>
      <c r="G8" s="15" t="s">
        <v>666</v>
      </c>
      <c r="H8" s="15"/>
      <c r="I8" s="15" t="s">
        <v>562</v>
      </c>
      <c r="J8" s="53"/>
    </row>
    <row r="9" spans="1:10" ht="24.95" customHeight="1" x14ac:dyDescent="0.35">
      <c r="A9" s="69"/>
      <c r="B9" s="55">
        <v>2</v>
      </c>
      <c r="C9" s="10">
        <v>7</v>
      </c>
      <c r="D9" s="18"/>
      <c r="E9" s="12"/>
      <c r="F9" s="13"/>
      <c r="G9" s="16" t="s">
        <v>667</v>
      </c>
      <c r="H9" s="16"/>
      <c r="I9" s="16" t="s">
        <v>668</v>
      </c>
      <c r="J9" s="52"/>
    </row>
    <row r="10" spans="1:10" ht="24.95" customHeight="1" x14ac:dyDescent="0.35">
      <c r="A10" s="69"/>
      <c r="B10" s="55">
        <v>9</v>
      </c>
      <c r="C10" s="10">
        <v>8</v>
      </c>
      <c r="D10" s="18"/>
      <c r="E10" s="12"/>
      <c r="F10" s="13"/>
      <c r="G10" s="15" t="s">
        <v>566</v>
      </c>
      <c r="H10" s="15"/>
      <c r="I10" s="15" t="s">
        <v>567</v>
      </c>
      <c r="J10" s="53"/>
    </row>
    <row r="11" spans="1:10" ht="24.95" customHeight="1" x14ac:dyDescent="0.35">
      <c r="A11" s="69"/>
      <c r="B11" s="55">
        <v>4</v>
      </c>
      <c r="C11" s="10">
        <v>9</v>
      </c>
      <c r="D11" s="96"/>
      <c r="E11" s="12"/>
      <c r="F11" s="13"/>
      <c r="G11" s="15" t="s">
        <v>568</v>
      </c>
      <c r="H11" s="14"/>
      <c r="I11" s="15" t="s">
        <v>569</v>
      </c>
      <c r="J11" s="51"/>
    </row>
    <row r="12" spans="1:10" ht="24.95" customHeight="1" x14ac:dyDescent="0.35">
      <c r="A12" s="69"/>
      <c r="B12" s="55">
        <v>15</v>
      </c>
      <c r="C12" s="10">
        <v>10</v>
      </c>
      <c r="D12" s="11"/>
      <c r="E12" s="12"/>
      <c r="F12" s="13"/>
      <c r="G12" s="15" t="s">
        <v>669</v>
      </c>
      <c r="H12" s="15"/>
      <c r="I12" s="15" t="s">
        <v>562</v>
      </c>
      <c r="J12" s="53"/>
    </row>
    <row r="13" spans="1:10" ht="24.95" customHeight="1" x14ac:dyDescent="0.35">
      <c r="A13" s="69"/>
      <c r="B13" s="55">
        <v>3</v>
      </c>
      <c r="C13" s="10">
        <v>11</v>
      </c>
      <c r="D13" s="11" t="s">
        <v>670</v>
      </c>
      <c r="E13" s="12"/>
      <c r="F13" s="13"/>
      <c r="G13" s="15" t="s">
        <v>570</v>
      </c>
      <c r="H13" s="15"/>
      <c r="I13" s="15" t="s">
        <v>563</v>
      </c>
      <c r="J13" s="53"/>
    </row>
    <row r="14" spans="1:10" ht="24.95" customHeight="1" x14ac:dyDescent="0.35">
      <c r="A14" s="69"/>
      <c r="B14" s="55">
        <v>14</v>
      </c>
      <c r="C14" s="10">
        <v>12</v>
      </c>
      <c r="D14" s="18"/>
      <c r="E14" s="12"/>
      <c r="F14" s="13"/>
      <c r="G14" s="15" t="s">
        <v>671</v>
      </c>
      <c r="H14" s="15"/>
      <c r="I14" s="15" t="s">
        <v>567</v>
      </c>
      <c r="J14" s="52"/>
    </row>
    <row r="15" spans="1:10" ht="24.95" customHeight="1" x14ac:dyDescent="0.35">
      <c r="A15" s="69"/>
      <c r="B15" s="55">
        <v>13</v>
      </c>
      <c r="C15" s="10">
        <v>13</v>
      </c>
      <c r="D15" s="18"/>
      <c r="E15" s="12"/>
      <c r="F15" s="13"/>
      <c r="G15" s="15" t="s">
        <v>571</v>
      </c>
      <c r="H15" s="15"/>
      <c r="I15" s="15" t="s">
        <v>562</v>
      </c>
      <c r="J15" s="53"/>
    </row>
    <row r="16" spans="1:10" ht="24.95" customHeight="1" x14ac:dyDescent="0.35">
      <c r="A16" s="69"/>
      <c r="B16" s="97" t="s">
        <v>395</v>
      </c>
      <c r="C16" s="10">
        <v>14</v>
      </c>
      <c r="D16" s="18" t="s">
        <v>673</v>
      </c>
      <c r="E16" s="12"/>
      <c r="F16" s="13"/>
      <c r="G16" s="15" t="s">
        <v>672</v>
      </c>
      <c r="H16" s="15"/>
      <c r="I16" s="15" t="s">
        <v>577</v>
      </c>
      <c r="J16" s="53"/>
    </row>
    <row r="17" spans="1:10" ht="24.95" customHeight="1" x14ac:dyDescent="0.35">
      <c r="A17" s="69"/>
      <c r="B17" s="55" t="s">
        <v>397</v>
      </c>
      <c r="C17" s="10">
        <v>15</v>
      </c>
      <c r="D17" s="18"/>
      <c r="E17" s="12"/>
      <c r="F17" s="13"/>
      <c r="G17" s="15" t="s">
        <v>674</v>
      </c>
      <c r="H17" s="15"/>
      <c r="I17" s="15" t="s">
        <v>675</v>
      </c>
      <c r="J17" s="52"/>
    </row>
    <row r="18" spans="1:10" ht="24.95" customHeight="1" x14ac:dyDescent="0.35">
      <c r="A18" s="69"/>
      <c r="B18" s="97">
        <v>7</v>
      </c>
      <c r="C18" s="10">
        <v>16</v>
      </c>
      <c r="D18" s="18"/>
      <c r="E18" s="12"/>
      <c r="F18" s="13"/>
      <c r="G18" s="15" t="s">
        <v>572</v>
      </c>
      <c r="H18" s="15"/>
      <c r="I18" s="15" t="s">
        <v>573</v>
      </c>
      <c r="J18" s="52"/>
    </row>
    <row r="19" spans="1:10" ht="24.95" customHeight="1" x14ac:dyDescent="0.35">
      <c r="A19" s="69"/>
      <c r="B19" s="55">
        <v>12</v>
      </c>
      <c r="C19" s="10">
        <v>17</v>
      </c>
      <c r="D19" s="11"/>
      <c r="E19" s="12"/>
      <c r="F19" s="13"/>
      <c r="G19" s="15" t="s">
        <v>676</v>
      </c>
      <c r="H19" s="15"/>
      <c r="I19" s="15" t="s">
        <v>565</v>
      </c>
      <c r="J19" s="53"/>
    </row>
    <row r="20" spans="1:10" ht="24.95" customHeight="1" x14ac:dyDescent="0.35">
      <c r="A20" s="69"/>
      <c r="B20" s="55">
        <v>1</v>
      </c>
      <c r="C20" s="10">
        <v>18</v>
      </c>
      <c r="D20" s="11" t="s">
        <v>105</v>
      </c>
      <c r="E20" s="12"/>
      <c r="F20" s="13"/>
      <c r="G20" s="15" t="s">
        <v>677</v>
      </c>
      <c r="H20" s="15"/>
      <c r="I20" s="15" t="s">
        <v>3</v>
      </c>
      <c r="J20" s="53"/>
    </row>
    <row r="21" spans="1:10" ht="24.95" customHeight="1" x14ac:dyDescent="0.35">
      <c r="A21" s="69"/>
      <c r="B21" s="55">
        <v>16</v>
      </c>
      <c r="C21" s="10">
        <v>19</v>
      </c>
      <c r="D21" s="11"/>
      <c r="E21" s="12"/>
      <c r="F21" s="13"/>
      <c r="G21" s="15" t="s">
        <v>678</v>
      </c>
      <c r="H21" s="15"/>
      <c r="I21" s="15" t="s">
        <v>562</v>
      </c>
      <c r="J21" s="53"/>
    </row>
    <row r="22" spans="1:10" ht="24.95" customHeight="1" x14ac:dyDescent="0.35">
      <c r="A22" s="67"/>
      <c r="B22" s="97">
        <v>6</v>
      </c>
      <c r="C22" s="10">
        <v>20</v>
      </c>
      <c r="D22" s="11" t="s">
        <v>680</v>
      </c>
      <c r="E22" s="12"/>
      <c r="F22" s="13"/>
      <c r="G22" s="15" t="s">
        <v>679</v>
      </c>
      <c r="H22" s="15"/>
      <c r="I22" s="15" t="s">
        <v>20</v>
      </c>
      <c r="J22" s="53"/>
    </row>
    <row r="23" spans="1:10" ht="24.95" customHeight="1" x14ac:dyDescent="0.35">
      <c r="A23" s="70"/>
      <c r="B23" s="55" t="s">
        <v>395</v>
      </c>
      <c r="C23" s="10">
        <v>21</v>
      </c>
      <c r="D23" s="11"/>
      <c r="E23" s="12"/>
      <c r="F23" s="13"/>
      <c r="G23" s="15" t="s">
        <v>681</v>
      </c>
      <c r="H23" s="14"/>
      <c r="I23" s="14" t="s">
        <v>682</v>
      </c>
      <c r="J23" s="51"/>
    </row>
    <row r="24" spans="1:10" ht="24.95" customHeight="1" x14ac:dyDescent="0.35">
      <c r="A24" s="69"/>
      <c r="B24" s="55"/>
      <c r="C24" s="10"/>
      <c r="D24" s="11"/>
      <c r="E24" s="12"/>
      <c r="F24" s="13"/>
      <c r="G24" s="15"/>
      <c r="H24" s="15"/>
      <c r="I24" s="15"/>
      <c r="J24" s="52"/>
    </row>
    <row r="25" spans="1:10" ht="24.95" customHeight="1" x14ac:dyDescent="0.35">
      <c r="A25" s="69"/>
      <c r="B25" s="55"/>
      <c r="C25" s="10"/>
      <c r="D25" s="11"/>
      <c r="E25" s="12"/>
      <c r="F25" s="13"/>
      <c r="G25" s="15"/>
      <c r="H25" s="14"/>
      <c r="I25" s="15"/>
      <c r="J25" s="52"/>
    </row>
    <row r="26" spans="1:10" ht="24.95" customHeight="1" x14ac:dyDescent="0.35">
      <c r="A26" s="69"/>
      <c r="B26" s="55"/>
      <c r="C26" s="10"/>
      <c r="D26" s="11"/>
      <c r="E26" s="12"/>
      <c r="F26" s="13"/>
      <c r="G26" s="16"/>
      <c r="H26" s="16"/>
      <c r="I26" s="16"/>
      <c r="J26" s="52"/>
    </row>
    <row r="27" spans="1:10" ht="24.95" customHeight="1" x14ac:dyDescent="0.35">
      <c r="A27" s="69"/>
      <c r="B27" s="55"/>
      <c r="C27" s="10"/>
      <c r="D27" s="11"/>
      <c r="E27" s="12"/>
      <c r="F27" s="13"/>
      <c r="G27" s="15"/>
      <c r="H27" s="15"/>
      <c r="I27" s="15"/>
      <c r="J27" s="53"/>
    </row>
    <row r="28" spans="1:10" ht="24.95" customHeight="1" x14ac:dyDescent="0.35">
      <c r="A28" s="69"/>
      <c r="B28" s="97"/>
      <c r="C28" s="10"/>
      <c r="D28" s="11"/>
      <c r="E28" s="12"/>
      <c r="F28" s="13"/>
      <c r="G28" s="15"/>
      <c r="H28" s="15"/>
      <c r="I28" s="15"/>
      <c r="J28" s="53"/>
    </row>
    <row r="29" spans="1:10" ht="24.95" customHeight="1" x14ac:dyDescent="0.35">
      <c r="A29" s="69"/>
      <c r="B29" s="55"/>
      <c r="C29" s="10"/>
      <c r="D29" s="18"/>
      <c r="E29" s="13"/>
      <c r="F29" s="13"/>
      <c r="G29" s="15"/>
      <c r="H29" s="15"/>
      <c r="I29" s="15"/>
      <c r="J29" s="52"/>
    </row>
    <row r="30" spans="1:10" ht="24.95" customHeight="1" x14ac:dyDescent="0.35">
      <c r="A30" s="69"/>
      <c r="B30" s="55"/>
      <c r="C30" s="10"/>
      <c r="D30" s="11"/>
      <c r="E30" s="12"/>
      <c r="F30" s="13"/>
      <c r="G30" s="15"/>
      <c r="H30" s="15"/>
      <c r="I30" s="15"/>
      <c r="J30" s="52"/>
    </row>
    <row r="31" spans="1:10" ht="24.95" customHeight="1" x14ac:dyDescent="0.35">
      <c r="A31" s="69"/>
      <c r="B31" s="55"/>
      <c r="C31" s="10"/>
      <c r="D31" s="17"/>
      <c r="E31" s="12"/>
      <c r="F31" s="13"/>
      <c r="G31" s="15"/>
      <c r="H31" s="14"/>
      <c r="I31" s="14"/>
      <c r="J31" s="51"/>
    </row>
    <row r="32" spans="1:10" ht="24.95" customHeight="1" x14ac:dyDescent="0.35">
      <c r="A32" s="69"/>
      <c r="B32" s="55"/>
      <c r="C32" s="10"/>
      <c r="D32" s="11"/>
      <c r="E32" s="12"/>
      <c r="F32" s="13"/>
      <c r="G32" s="15"/>
      <c r="H32" s="15"/>
      <c r="I32" s="15"/>
      <c r="J32" s="53"/>
    </row>
    <row r="33" spans="1:10" ht="24.95" customHeight="1" x14ac:dyDescent="0.35">
      <c r="A33" s="69"/>
      <c r="B33" s="55"/>
      <c r="C33" s="10"/>
      <c r="D33" s="11"/>
      <c r="E33" s="12"/>
      <c r="F33" s="13"/>
      <c r="G33" s="15"/>
      <c r="H33" s="15"/>
      <c r="I33" s="15"/>
      <c r="J33" s="53"/>
    </row>
    <row r="34" spans="1:10" ht="24.95" customHeight="1" x14ac:dyDescent="0.35">
      <c r="A34" s="69"/>
      <c r="B34" s="55"/>
      <c r="C34" s="10"/>
      <c r="D34" s="11"/>
      <c r="E34" s="12"/>
      <c r="F34" s="13"/>
      <c r="G34" s="15"/>
      <c r="H34" s="15"/>
      <c r="I34" s="15"/>
      <c r="J34" s="52"/>
    </row>
    <row r="35" spans="1:10" ht="24.95" customHeight="1" x14ac:dyDescent="0.35">
      <c r="A35" s="69"/>
      <c r="B35" s="55"/>
      <c r="C35" s="10"/>
      <c r="D35" s="11"/>
      <c r="E35" s="12"/>
      <c r="F35" s="13"/>
      <c r="G35" s="15"/>
      <c r="H35" s="15"/>
      <c r="I35" s="15"/>
      <c r="J35" s="53"/>
    </row>
    <row r="36" spans="1:10" ht="24.95" customHeight="1" x14ac:dyDescent="0.35">
      <c r="A36" s="69"/>
      <c r="B36" s="55"/>
      <c r="C36" s="10"/>
      <c r="D36" s="11"/>
      <c r="E36" s="12"/>
      <c r="F36" s="13"/>
      <c r="G36" s="15"/>
      <c r="H36" s="15"/>
      <c r="I36" s="15"/>
      <c r="J36" s="53"/>
    </row>
    <row r="37" spans="1:10" ht="24.95" customHeight="1" x14ac:dyDescent="0.35">
      <c r="A37" s="69"/>
      <c r="B37" s="55"/>
      <c r="C37" s="10"/>
      <c r="D37" s="11"/>
      <c r="E37" s="12"/>
      <c r="F37" s="13"/>
      <c r="G37" s="15"/>
      <c r="H37" s="15"/>
      <c r="I37" s="15"/>
      <c r="J37" s="52"/>
    </row>
    <row r="38" spans="1:10" ht="24.95" customHeight="1" x14ac:dyDescent="0.35">
      <c r="A38" s="69"/>
      <c r="B38" s="55"/>
      <c r="C38" s="10"/>
      <c r="D38" s="11"/>
      <c r="E38" s="12"/>
      <c r="F38" s="13"/>
      <c r="G38" s="15"/>
      <c r="H38" s="15"/>
      <c r="I38" s="15"/>
      <c r="J38" s="52"/>
    </row>
    <row r="39" spans="1:10" ht="24.95" customHeight="1" x14ac:dyDescent="0.35">
      <c r="A39" s="69"/>
      <c r="B39" s="55"/>
      <c r="C39" s="10"/>
      <c r="D39" s="11"/>
      <c r="E39" s="12"/>
      <c r="F39" s="13"/>
      <c r="G39" s="15"/>
      <c r="H39" s="15"/>
      <c r="I39" s="15"/>
      <c r="J39" s="53"/>
    </row>
    <row r="40" spans="1:10" ht="24.95" customHeight="1" x14ac:dyDescent="0.35">
      <c r="A40" s="69"/>
      <c r="B40" s="55"/>
      <c r="C40" s="10"/>
      <c r="D40" s="11"/>
      <c r="E40" s="12"/>
      <c r="F40" s="13"/>
      <c r="G40" s="15"/>
      <c r="H40" s="15"/>
      <c r="I40" s="15"/>
      <c r="J40" s="53"/>
    </row>
    <row r="41" spans="1:10" ht="24.95" customHeight="1" x14ac:dyDescent="0.35">
      <c r="A41" s="69"/>
      <c r="B41" s="55"/>
      <c r="C41" s="10"/>
      <c r="D41" s="11"/>
      <c r="E41" s="12"/>
      <c r="F41" s="13"/>
      <c r="G41" s="15"/>
      <c r="H41" s="15"/>
      <c r="I41" s="15"/>
      <c r="J41" s="53"/>
    </row>
    <row r="42" spans="1:10" ht="24.95" customHeight="1" x14ac:dyDescent="0.35">
      <c r="A42" s="67"/>
      <c r="B42" s="55"/>
      <c r="C42" s="10"/>
      <c r="D42" s="11"/>
      <c r="E42" s="12"/>
      <c r="F42" s="13"/>
      <c r="G42" s="15"/>
      <c r="H42" s="15"/>
      <c r="I42" s="15"/>
      <c r="J42" s="53"/>
    </row>
    <row r="43" spans="1:10" ht="24.95" customHeight="1" x14ac:dyDescent="0.35">
      <c r="A43" s="67"/>
      <c r="B43" s="55"/>
      <c r="C43" s="10"/>
      <c r="D43" s="18"/>
      <c r="E43" s="12"/>
      <c r="F43" s="13"/>
      <c r="G43" s="15"/>
      <c r="H43" s="15"/>
      <c r="I43" s="15"/>
      <c r="J43" s="53"/>
    </row>
    <row r="44" spans="1:10" ht="24.95" customHeight="1" x14ac:dyDescent="0.35">
      <c r="A44" s="67"/>
      <c r="B44" s="55"/>
      <c r="C44" s="10"/>
      <c r="D44" s="18"/>
      <c r="E44" s="12"/>
      <c r="F44" s="13"/>
      <c r="G44" s="15"/>
      <c r="H44" s="15"/>
      <c r="I44" s="15"/>
      <c r="J44" s="53"/>
    </row>
    <row r="45" spans="1:10" ht="24.95" customHeight="1" x14ac:dyDescent="0.35">
      <c r="A45" s="67"/>
      <c r="B45" s="55"/>
      <c r="C45" s="10"/>
      <c r="D45" s="18"/>
      <c r="E45" s="12"/>
      <c r="F45" s="13"/>
      <c r="G45" s="15"/>
      <c r="H45" s="15"/>
      <c r="I45" s="15"/>
      <c r="J45" s="53"/>
    </row>
    <row r="46" spans="1:10" ht="24.95" customHeight="1" x14ac:dyDescent="0.35">
      <c r="A46" s="67"/>
      <c r="B46" s="55"/>
      <c r="C46" s="10"/>
      <c r="D46" s="18"/>
      <c r="E46" s="12"/>
      <c r="F46" s="13"/>
      <c r="G46" s="15"/>
      <c r="H46" s="15"/>
      <c r="I46" s="15"/>
      <c r="J46" s="53"/>
    </row>
    <row r="47" spans="1:10" ht="24.95" customHeight="1" x14ac:dyDescent="0.35">
      <c r="A47" s="67"/>
      <c r="B47" s="55"/>
      <c r="C47" s="10"/>
      <c r="D47" s="18"/>
      <c r="E47" s="12"/>
      <c r="F47" s="13"/>
      <c r="G47" s="15"/>
      <c r="H47" s="15"/>
      <c r="I47" s="15"/>
      <c r="J47" s="53"/>
    </row>
    <row r="48" spans="1:10" ht="24.95" customHeight="1" x14ac:dyDescent="0.35">
      <c r="A48" s="67"/>
      <c r="B48" s="55"/>
      <c r="C48" s="10"/>
      <c r="D48" s="18"/>
      <c r="E48" s="12"/>
      <c r="F48" s="13"/>
      <c r="G48" s="15"/>
      <c r="H48" s="15"/>
      <c r="I48" s="15"/>
      <c r="J48" s="53"/>
    </row>
    <row r="49" spans="1:10" ht="24.95" customHeight="1" x14ac:dyDescent="0.35">
      <c r="A49" s="67"/>
      <c r="B49" s="55"/>
      <c r="C49" s="10"/>
      <c r="D49" s="18"/>
      <c r="E49" s="12"/>
      <c r="F49" s="13"/>
      <c r="G49" s="15"/>
      <c r="H49" s="15"/>
      <c r="I49" s="15"/>
      <c r="J49" s="53"/>
    </row>
    <row r="50" spans="1:10" ht="24.95" customHeight="1" x14ac:dyDescent="0.35">
      <c r="A50" s="67"/>
      <c r="B50" s="55"/>
      <c r="C50" s="10"/>
      <c r="D50" s="18"/>
      <c r="E50" s="12"/>
      <c r="F50" s="13"/>
      <c r="G50" s="15"/>
      <c r="H50" s="15"/>
      <c r="I50" s="15"/>
      <c r="J50" s="53"/>
    </row>
    <row r="51" spans="1:10" ht="24.95" customHeight="1" x14ac:dyDescent="0.35">
      <c r="A51" s="67"/>
      <c r="B51" s="55"/>
      <c r="C51" s="10"/>
      <c r="D51" s="18"/>
      <c r="E51" s="12"/>
      <c r="F51" s="13"/>
      <c r="G51" s="15"/>
      <c r="H51" s="15"/>
      <c r="I51" s="15"/>
      <c r="J51" s="53"/>
    </row>
    <row r="52" spans="1:10" ht="24.95" customHeight="1" x14ac:dyDescent="0.35">
      <c r="A52" s="67"/>
      <c r="B52" s="55"/>
      <c r="C52" s="10"/>
      <c r="D52" s="18"/>
      <c r="E52" s="12"/>
      <c r="F52" s="13"/>
      <c r="G52" s="15"/>
      <c r="H52" s="15"/>
      <c r="I52" s="15"/>
      <c r="J52" s="53"/>
    </row>
    <row r="53" spans="1:10" ht="24.95" customHeight="1" x14ac:dyDescent="0.35">
      <c r="A53" s="67"/>
      <c r="B53" s="55"/>
      <c r="C53" s="10"/>
      <c r="D53" s="18"/>
      <c r="E53" s="12"/>
      <c r="F53" s="13"/>
      <c r="G53" s="15"/>
      <c r="H53" s="15"/>
      <c r="I53" s="15"/>
      <c r="J53" s="53"/>
    </row>
    <row r="54" spans="1:10" ht="24.95" customHeight="1" x14ac:dyDescent="0.35">
      <c r="A54" s="67"/>
      <c r="B54" s="55"/>
      <c r="C54" s="10"/>
      <c r="D54" s="18"/>
      <c r="E54" s="12"/>
      <c r="F54" s="13"/>
      <c r="G54" s="15"/>
      <c r="H54" s="15"/>
      <c r="I54" s="15"/>
      <c r="J54" s="53"/>
    </row>
    <row r="55" spans="1:10" ht="24.95" customHeight="1" x14ac:dyDescent="0.35">
      <c r="A55" s="67"/>
      <c r="B55" s="55"/>
      <c r="C55" s="10"/>
      <c r="D55" s="18"/>
      <c r="E55" s="12"/>
      <c r="F55" s="13"/>
      <c r="G55" s="15"/>
      <c r="H55" s="15"/>
      <c r="I55" s="15"/>
      <c r="J55" s="53"/>
    </row>
    <row r="56" spans="1:10" ht="24.95" customHeight="1" x14ac:dyDescent="0.35">
      <c r="A56" s="67"/>
      <c r="B56" s="55"/>
      <c r="C56" s="10"/>
      <c r="D56" s="18"/>
      <c r="E56" s="12"/>
      <c r="F56" s="13"/>
      <c r="G56" s="15"/>
      <c r="H56" s="15"/>
      <c r="I56" s="15"/>
      <c r="J56" s="53"/>
    </row>
    <row r="57" spans="1:10" ht="24.95" customHeight="1" x14ac:dyDescent="0.35">
      <c r="A57" s="67"/>
      <c r="B57" s="55"/>
      <c r="C57" s="10"/>
      <c r="D57" s="11"/>
      <c r="E57" s="12"/>
      <c r="F57" s="13"/>
      <c r="G57" s="15"/>
      <c r="H57" s="15"/>
      <c r="I57" s="15"/>
      <c r="J57" s="53"/>
    </row>
    <row r="58" spans="1:10" ht="24.95" customHeight="1" x14ac:dyDescent="0.35">
      <c r="A58" s="67"/>
      <c r="B58" s="55"/>
      <c r="C58" s="10"/>
      <c r="D58" s="18"/>
      <c r="E58" s="12"/>
      <c r="F58" s="13"/>
      <c r="G58" s="15"/>
      <c r="H58" s="15"/>
      <c r="I58" s="15"/>
      <c r="J58" s="53"/>
    </row>
    <row r="59" spans="1:10" ht="24.95" customHeight="1" x14ac:dyDescent="0.35">
      <c r="A59" s="67"/>
      <c r="B59" s="55"/>
      <c r="C59" s="10"/>
      <c r="D59" s="18"/>
      <c r="E59" s="12"/>
      <c r="F59" s="13"/>
      <c r="G59" s="15"/>
      <c r="H59" s="15"/>
      <c r="I59" s="15"/>
      <c r="J59" s="53"/>
    </row>
    <row r="60" spans="1:10" ht="24.95" customHeight="1" x14ac:dyDescent="0.35">
      <c r="A60" s="67"/>
      <c r="B60" s="55"/>
      <c r="C60" s="10"/>
      <c r="D60" s="18"/>
      <c r="E60" s="12"/>
      <c r="F60" s="13"/>
      <c r="G60" s="15"/>
      <c r="H60" s="15"/>
      <c r="I60" s="15"/>
      <c r="J60" s="53"/>
    </row>
    <row r="61" spans="1:10" ht="24.95" customHeight="1" x14ac:dyDescent="0.35">
      <c r="A61" s="67"/>
      <c r="B61" s="55"/>
      <c r="C61" s="10"/>
      <c r="D61" s="18"/>
      <c r="E61" s="12"/>
      <c r="F61" s="13"/>
      <c r="G61" s="15"/>
      <c r="H61" s="15"/>
      <c r="I61" s="15"/>
      <c r="J61" s="53"/>
    </row>
    <row r="62" spans="1:10" ht="24.95" customHeight="1" thickBot="1" x14ac:dyDescent="0.4">
      <c r="A62" s="68"/>
      <c r="B62" s="72"/>
      <c r="C62" s="19"/>
      <c r="D62" s="20"/>
      <c r="E62" s="21"/>
      <c r="F62" s="22"/>
      <c r="G62" s="23"/>
      <c r="H62" s="23"/>
      <c r="I62" s="23"/>
      <c r="J62" s="54"/>
    </row>
  </sheetData>
  <sheetProtection sheet="1" objects="1" scenarios="1"/>
  <mergeCells count="1">
    <mergeCell ref="D1:H1"/>
  </mergeCells>
  <conditionalFormatting sqref="C53:C62">
    <cfRule type="expression" dxfId="9" priority="3">
      <formula>$A53&lt;&gt;""</formula>
    </cfRule>
  </conditionalFormatting>
  <conditionalFormatting sqref="C3:C52">
    <cfRule type="expression" dxfId="8" priority="2">
      <formula>$A3&lt;&gt;""</formula>
    </cfRule>
  </conditionalFormatting>
  <dataValidations count="2">
    <dataValidation type="list" allowBlank="1" showInputMessage="1" showErrorMessage="1" sqref="E3:E62" xr:uid="{00000000-0002-0000-0200-000000000000}">
      <formula1>Fédérations</formula1>
    </dataValidation>
    <dataValidation type="list" allowBlank="1" showInputMessage="1" showErrorMessage="1" sqref="B3:B62" xr:uid="{00000000-0002-0000-0200-000001000000}">
      <formula1>Rang</formula1>
    </dataValidation>
  </dataValidations>
  <pageMargins left="0.25" right="0.25" top="0.75" bottom="0.75" header="0.3" footer="0.3"/>
  <pageSetup paperSize="9" scale="76" fitToHeight="0" orientation="landscape" r:id="rId1"/>
  <headerFooter>
    <oddHeader>&amp;C&amp;"Arial Black"&amp;20Grand prix Oyeu-Burcin 2026</oddHeader>
    <oddFooter>&amp;C&amp;"Arial"&amp;G&amp;12AB =&gt; abandon        NC =&gt; non classé, arrivée en peloton        NP =&gt; non partant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5" tint="0.39997558519241921"/>
    <pageSetUpPr fitToPage="1"/>
  </sheetPr>
  <dimension ref="A1:J62"/>
  <sheetViews>
    <sheetView showGridLines="0" showRowColHeaders="0" topLeftCell="A12" zoomScaleNormal="100" workbookViewId="0">
      <selection activeCell="C34" sqref="C34"/>
    </sheetView>
  </sheetViews>
  <sheetFormatPr baseColWidth="10" defaultColWidth="11.3984375" defaultRowHeight="12.75" x14ac:dyDescent="0.35"/>
  <cols>
    <col min="1" max="1" width="7.59765625" style="8" customWidth="1"/>
    <col min="2" max="2" width="14.1328125" style="8" bestFit="1" customWidth="1"/>
    <col min="3" max="3" width="10.59765625" style="9" bestFit="1" customWidth="1"/>
    <col min="4" max="4" width="16.1328125" style="24" customWidth="1"/>
    <col min="5" max="5" width="13" style="8" bestFit="1" customWidth="1"/>
    <col min="6" max="6" width="15.265625" style="8" bestFit="1" customWidth="1"/>
    <col min="7" max="8" width="22.73046875" style="7" customWidth="1"/>
    <col min="9" max="9" width="47.73046875" style="7" customWidth="1"/>
    <col min="10" max="10" width="20.73046875" style="8" customWidth="1"/>
    <col min="11" max="16384" width="11.3984375" style="9"/>
  </cols>
  <sheetData>
    <row r="1" spans="1:10" s="29" customFormat="1" ht="91.9" customHeight="1" thickBot="1" x14ac:dyDescent="0.4">
      <c r="A1" s="28"/>
      <c r="B1" s="25" t="s">
        <v>164</v>
      </c>
      <c r="C1" s="26">
        <f>COUNTA(G3:G62)-COUNTIF(B3:B62,"NP")</f>
        <v>29</v>
      </c>
      <c r="D1" s="126"/>
      <c r="E1" s="126"/>
      <c r="F1" s="126"/>
      <c r="G1" s="126"/>
      <c r="H1" s="126"/>
      <c r="I1" s="27"/>
      <c r="J1" s="28"/>
    </row>
    <row r="2" spans="1:10" s="34" customFormat="1" ht="24.95" customHeight="1" x14ac:dyDescent="0.35">
      <c r="A2" s="73" t="s">
        <v>193</v>
      </c>
      <c r="B2" s="30" t="s">
        <v>143</v>
      </c>
      <c r="C2" s="31" t="s">
        <v>140</v>
      </c>
      <c r="D2" s="32" t="s">
        <v>141</v>
      </c>
      <c r="E2" s="31" t="s">
        <v>144</v>
      </c>
      <c r="F2" s="31" t="s">
        <v>145</v>
      </c>
      <c r="G2" s="66" t="s">
        <v>142</v>
      </c>
      <c r="H2" s="31" t="s">
        <v>192</v>
      </c>
      <c r="I2" s="31" t="s">
        <v>1</v>
      </c>
      <c r="J2" s="33" t="s">
        <v>153</v>
      </c>
    </row>
    <row r="3" spans="1:10" ht="24.95" customHeight="1" x14ac:dyDescent="0.35">
      <c r="A3" s="70"/>
      <c r="B3" s="55">
        <v>19</v>
      </c>
      <c r="C3" s="10">
        <v>51</v>
      </c>
      <c r="D3" s="18" t="s">
        <v>443</v>
      </c>
      <c r="E3" s="12"/>
      <c r="F3" s="13"/>
      <c r="G3" s="15" t="s">
        <v>574</v>
      </c>
      <c r="H3" s="14"/>
      <c r="I3" s="14" t="s">
        <v>564</v>
      </c>
      <c r="J3" s="51"/>
    </row>
    <row r="4" spans="1:10" ht="24.95" customHeight="1" x14ac:dyDescent="0.35">
      <c r="A4" s="69"/>
      <c r="B4" s="55" t="s">
        <v>395</v>
      </c>
      <c r="C4" s="10">
        <v>52</v>
      </c>
      <c r="D4" s="18" t="s">
        <v>685</v>
      </c>
      <c r="E4" s="12"/>
      <c r="F4" s="13"/>
      <c r="G4" s="15" t="s">
        <v>683</v>
      </c>
      <c r="H4" s="15"/>
      <c r="I4" s="15" t="s">
        <v>684</v>
      </c>
      <c r="J4" s="52"/>
    </row>
    <row r="5" spans="1:10" ht="24.95" customHeight="1" x14ac:dyDescent="0.35">
      <c r="A5" s="69"/>
      <c r="B5" s="55">
        <v>18</v>
      </c>
      <c r="C5" s="10">
        <v>53</v>
      </c>
      <c r="D5" s="11" t="s">
        <v>575</v>
      </c>
      <c r="E5" s="12"/>
      <c r="F5" s="13"/>
      <c r="G5" s="15" t="s">
        <v>686</v>
      </c>
      <c r="H5" s="15"/>
      <c r="I5" s="15" t="s">
        <v>3</v>
      </c>
      <c r="J5" s="51"/>
    </row>
    <row r="6" spans="1:10" ht="24.95" customHeight="1" x14ac:dyDescent="0.35">
      <c r="A6" s="69"/>
      <c r="B6" s="97" t="s">
        <v>397</v>
      </c>
      <c r="C6" s="10">
        <v>54</v>
      </c>
      <c r="D6" s="18" t="s">
        <v>688</v>
      </c>
      <c r="E6" s="12"/>
      <c r="F6" s="13"/>
      <c r="G6" s="15" t="s">
        <v>687</v>
      </c>
      <c r="H6" s="16"/>
      <c r="I6" s="16" t="s">
        <v>577</v>
      </c>
      <c r="J6" s="52"/>
    </row>
    <row r="7" spans="1:10" ht="24.95" customHeight="1" x14ac:dyDescent="0.35">
      <c r="A7" s="69"/>
      <c r="B7" s="55" t="s">
        <v>395</v>
      </c>
      <c r="C7" s="10">
        <v>55</v>
      </c>
      <c r="D7" s="18"/>
      <c r="E7" s="12"/>
      <c r="F7" s="13"/>
      <c r="G7" s="15" t="s">
        <v>689</v>
      </c>
      <c r="H7" s="15"/>
      <c r="I7" s="15"/>
      <c r="J7" s="53"/>
    </row>
    <row r="8" spans="1:10" ht="24.95" customHeight="1" x14ac:dyDescent="0.35">
      <c r="A8" s="69"/>
      <c r="B8" s="55">
        <v>15</v>
      </c>
      <c r="C8" s="10">
        <v>56</v>
      </c>
      <c r="D8" s="18" t="s">
        <v>691</v>
      </c>
      <c r="E8" s="12"/>
      <c r="F8" s="13"/>
      <c r="G8" s="15" t="s">
        <v>690</v>
      </c>
      <c r="H8" s="15"/>
      <c r="I8" s="15" t="s">
        <v>577</v>
      </c>
      <c r="J8" s="53"/>
    </row>
    <row r="9" spans="1:10" ht="24.95" customHeight="1" x14ac:dyDescent="0.35">
      <c r="A9" s="69"/>
      <c r="B9" s="55">
        <v>24</v>
      </c>
      <c r="C9" s="10">
        <v>57</v>
      </c>
      <c r="D9" s="11" t="s">
        <v>578</v>
      </c>
      <c r="E9" s="12"/>
      <c r="F9" s="13"/>
      <c r="G9" s="16" t="s">
        <v>576</v>
      </c>
      <c r="H9" s="16"/>
      <c r="I9" s="16" t="s">
        <v>577</v>
      </c>
      <c r="J9" s="52"/>
    </row>
    <row r="10" spans="1:10" ht="24.95" customHeight="1" x14ac:dyDescent="0.35">
      <c r="A10" s="69"/>
      <c r="B10" s="55">
        <v>17</v>
      </c>
      <c r="C10" s="10">
        <v>58</v>
      </c>
      <c r="D10" s="18" t="s">
        <v>601</v>
      </c>
      <c r="E10" s="12"/>
      <c r="F10" s="13"/>
      <c r="G10" s="15" t="s">
        <v>600</v>
      </c>
      <c r="H10" s="15"/>
      <c r="I10" s="15" t="s">
        <v>559</v>
      </c>
      <c r="J10" s="52"/>
    </row>
    <row r="11" spans="1:10" ht="24.95" customHeight="1" x14ac:dyDescent="0.35">
      <c r="A11" s="69"/>
      <c r="B11" s="55">
        <v>7</v>
      </c>
      <c r="C11" s="10">
        <v>59</v>
      </c>
      <c r="D11" s="96"/>
      <c r="E11" s="12"/>
      <c r="F11" s="13"/>
      <c r="G11" s="15" t="s">
        <v>692</v>
      </c>
      <c r="H11" s="14"/>
      <c r="I11" s="14"/>
      <c r="J11" s="51"/>
    </row>
    <row r="12" spans="1:10" ht="24.95" customHeight="1" x14ac:dyDescent="0.35">
      <c r="A12" s="69"/>
      <c r="B12" s="55">
        <v>8</v>
      </c>
      <c r="C12" s="10">
        <v>60</v>
      </c>
      <c r="D12" s="18" t="s">
        <v>603</v>
      </c>
      <c r="E12" s="12"/>
      <c r="F12" s="13"/>
      <c r="G12" s="15" t="s">
        <v>602</v>
      </c>
      <c r="H12" s="15"/>
      <c r="I12" s="15" t="s">
        <v>3</v>
      </c>
      <c r="J12" s="53"/>
    </row>
    <row r="13" spans="1:10" ht="24.95" customHeight="1" x14ac:dyDescent="0.35">
      <c r="A13" s="69"/>
      <c r="B13" s="55" t="s">
        <v>395</v>
      </c>
      <c r="C13" s="10">
        <v>61</v>
      </c>
      <c r="D13" s="18" t="s">
        <v>582</v>
      </c>
      <c r="E13" s="12"/>
      <c r="F13" s="13"/>
      <c r="G13" s="15" t="s">
        <v>581</v>
      </c>
      <c r="H13" s="15"/>
      <c r="I13" s="15" t="s">
        <v>577</v>
      </c>
      <c r="J13" s="53"/>
    </row>
    <row r="14" spans="1:10" ht="24.95" customHeight="1" x14ac:dyDescent="0.35">
      <c r="A14" s="69"/>
      <c r="B14" s="55">
        <v>14</v>
      </c>
      <c r="C14" s="10">
        <v>62</v>
      </c>
      <c r="D14" s="18"/>
      <c r="E14" s="12"/>
      <c r="F14" s="13"/>
      <c r="G14" s="15" t="s">
        <v>693</v>
      </c>
      <c r="H14" s="15"/>
      <c r="I14" s="15"/>
      <c r="J14" s="53"/>
    </row>
    <row r="15" spans="1:10" ht="24.95" customHeight="1" x14ac:dyDescent="0.35">
      <c r="A15" s="69"/>
      <c r="B15" s="55">
        <v>11</v>
      </c>
      <c r="C15" s="10">
        <v>63</v>
      </c>
      <c r="D15" s="18"/>
      <c r="E15" s="12"/>
      <c r="F15" s="13"/>
      <c r="G15" s="15" t="s">
        <v>694</v>
      </c>
      <c r="H15" s="15"/>
      <c r="I15" s="15" t="s">
        <v>695</v>
      </c>
      <c r="J15" s="53"/>
    </row>
    <row r="16" spans="1:10" ht="24.95" customHeight="1" x14ac:dyDescent="0.35">
      <c r="A16" s="69"/>
      <c r="B16" s="55">
        <v>23</v>
      </c>
      <c r="C16" s="10">
        <v>64</v>
      </c>
      <c r="D16" s="11" t="s">
        <v>129</v>
      </c>
      <c r="E16" s="12"/>
      <c r="F16" s="13"/>
      <c r="G16" s="15" t="s">
        <v>583</v>
      </c>
      <c r="H16" s="15"/>
      <c r="I16" s="15" t="s">
        <v>577</v>
      </c>
      <c r="J16" s="53"/>
    </row>
    <row r="17" spans="1:10" ht="24.95" customHeight="1" x14ac:dyDescent="0.35">
      <c r="A17" s="69"/>
      <c r="B17" s="55" t="s">
        <v>397</v>
      </c>
      <c r="C17" s="10">
        <v>65</v>
      </c>
      <c r="D17" s="11"/>
      <c r="E17" s="12"/>
      <c r="F17" s="13"/>
      <c r="G17" s="15" t="s">
        <v>696</v>
      </c>
      <c r="H17" s="15"/>
      <c r="I17" s="15" t="s">
        <v>697</v>
      </c>
      <c r="J17" s="53"/>
    </row>
    <row r="18" spans="1:10" ht="24.95" customHeight="1" x14ac:dyDescent="0.35">
      <c r="A18" s="69"/>
      <c r="B18" s="55">
        <v>25</v>
      </c>
      <c r="C18" s="10">
        <v>66</v>
      </c>
      <c r="D18" s="11"/>
      <c r="E18" s="12"/>
      <c r="F18" s="13"/>
      <c r="G18" s="15" t="s">
        <v>698</v>
      </c>
      <c r="H18" s="15"/>
      <c r="I18" s="15" t="s">
        <v>695</v>
      </c>
      <c r="J18" s="53"/>
    </row>
    <row r="19" spans="1:10" ht="24.95" customHeight="1" x14ac:dyDescent="0.35">
      <c r="A19" s="69"/>
      <c r="B19" s="55">
        <v>12</v>
      </c>
      <c r="C19" s="10">
        <v>67</v>
      </c>
      <c r="D19" s="18"/>
      <c r="E19" s="13"/>
      <c r="F19" s="13"/>
      <c r="G19" s="15" t="s">
        <v>699</v>
      </c>
      <c r="H19" s="15"/>
      <c r="I19" s="15" t="s">
        <v>700</v>
      </c>
      <c r="J19" s="53"/>
    </row>
    <row r="20" spans="1:10" ht="24.95" customHeight="1" x14ac:dyDescent="0.35">
      <c r="A20" s="69"/>
      <c r="B20" s="55">
        <v>6</v>
      </c>
      <c r="C20" s="10">
        <v>68</v>
      </c>
      <c r="D20" s="18" t="s">
        <v>585</v>
      </c>
      <c r="E20" s="12"/>
      <c r="F20" s="13"/>
      <c r="G20" s="7" t="s">
        <v>584</v>
      </c>
      <c r="I20" s="7" t="s">
        <v>559</v>
      </c>
      <c r="J20" s="53"/>
    </row>
    <row r="21" spans="1:10" ht="24.95" customHeight="1" x14ac:dyDescent="0.35">
      <c r="A21" s="67"/>
      <c r="B21" s="55">
        <v>10</v>
      </c>
      <c r="C21" s="10">
        <v>69</v>
      </c>
      <c r="D21" s="18" t="s">
        <v>587</v>
      </c>
      <c r="E21" s="12"/>
      <c r="F21" s="13"/>
      <c r="G21" s="15" t="s">
        <v>586</v>
      </c>
      <c r="H21" s="15"/>
      <c r="I21" s="15" t="s">
        <v>559</v>
      </c>
      <c r="J21" s="53"/>
    </row>
    <row r="22" spans="1:10" ht="24.95" customHeight="1" x14ac:dyDescent="0.35">
      <c r="A22" s="67"/>
      <c r="B22" s="55">
        <v>16</v>
      </c>
      <c r="C22" s="10">
        <v>70</v>
      </c>
      <c r="D22" s="18" t="s">
        <v>702</v>
      </c>
      <c r="E22" s="13"/>
      <c r="F22" s="13"/>
      <c r="G22" s="15" t="s">
        <v>701</v>
      </c>
      <c r="H22" s="15"/>
      <c r="I22" s="15" t="s">
        <v>577</v>
      </c>
      <c r="J22" s="53"/>
    </row>
    <row r="23" spans="1:10" ht="24.95" customHeight="1" x14ac:dyDescent="0.35">
      <c r="A23" s="67"/>
      <c r="B23" s="55">
        <v>4</v>
      </c>
      <c r="C23" s="10">
        <v>71</v>
      </c>
      <c r="D23" s="18" t="s">
        <v>589</v>
      </c>
      <c r="E23" s="12"/>
      <c r="F23" s="13"/>
      <c r="G23" s="15" t="s">
        <v>588</v>
      </c>
      <c r="H23" s="15"/>
      <c r="I23" s="15" t="s">
        <v>3</v>
      </c>
      <c r="J23" s="53"/>
    </row>
    <row r="24" spans="1:10" ht="24.95" customHeight="1" x14ac:dyDescent="0.35">
      <c r="A24" s="67"/>
      <c r="B24" s="55">
        <v>21</v>
      </c>
      <c r="C24" s="10">
        <v>72</v>
      </c>
      <c r="D24" s="18"/>
      <c r="E24" s="12"/>
      <c r="F24" s="13"/>
      <c r="G24" s="15" t="s">
        <v>590</v>
      </c>
      <c r="H24" s="15"/>
      <c r="I24" s="15" t="s">
        <v>629</v>
      </c>
      <c r="J24" s="53"/>
    </row>
    <row r="25" spans="1:10" ht="24.95" customHeight="1" x14ac:dyDescent="0.35">
      <c r="A25" s="67"/>
      <c r="B25" s="55">
        <v>5</v>
      </c>
      <c r="C25" s="10">
        <v>73</v>
      </c>
      <c r="D25" s="18" t="s">
        <v>704</v>
      </c>
      <c r="E25" s="12"/>
      <c r="F25" s="13"/>
      <c r="G25" s="15" t="s">
        <v>703</v>
      </c>
      <c r="H25" s="15"/>
      <c r="I25" s="15" t="s">
        <v>577</v>
      </c>
      <c r="J25" s="53"/>
    </row>
    <row r="26" spans="1:10" ht="24.95" customHeight="1" x14ac:dyDescent="0.35">
      <c r="A26" s="67"/>
      <c r="B26" s="55">
        <v>9</v>
      </c>
      <c r="C26" s="10">
        <v>74</v>
      </c>
      <c r="D26" s="18" t="s">
        <v>97</v>
      </c>
      <c r="E26" s="12"/>
      <c r="F26" s="13"/>
      <c r="G26" s="15" t="s">
        <v>591</v>
      </c>
      <c r="H26" s="15"/>
      <c r="I26" s="15" t="s">
        <v>564</v>
      </c>
      <c r="J26" s="53"/>
    </row>
    <row r="27" spans="1:10" ht="24.95" customHeight="1" x14ac:dyDescent="0.35">
      <c r="A27" s="67"/>
      <c r="B27" s="55">
        <v>13</v>
      </c>
      <c r="C27" s="10">
        <v>75</v>
      </c>
      <c r="D27" s="18" t="s">
        <v>706</v>
      </c>
      <c r="E27" s="12"/>
      <c r="F27" s="13"/>
      <c r="G27" s="15" t="s">
        <v>705</v>
      </c>
      <c r="H27" s="15"/>
      <c r="I27" s="15" t="s">
        <v>564</v>
      </c>
      <c r="J27" s="53"/>
    </row>
    <row r="28" spans="1:10" ht="24.95" customHeight="1" x14ac:dyDescent="0.35">
      <c r="A28" s="67"/>
      <c r="B28" s="55">
        <v>20</v>
      </c>
      <c r="C28" s="10">
        <v>76</v>
      </c>
      <c r="D28" s="18" t="s">
        <v>708</v>
      </c>
      <c r="E28" s="12"/>
      <c r="F28" s="13"/>
      <c r="G28" s="15" t="s">
        <v>707</v>
      </c>
      <c r="H28" s="15"/>
      <c r="I28" s="15" t="s">
        <v>564</v>
      </c>
      <c r="J28" s="53"/>
    </row>
    <row r="29" spans="1:10" ht="24.95" customHeight="1" x14ac:dyDescent="0.35">
      <c r="A29" s="67"/>
      <c r="B29" s="55">
        <v>1</v>
      </c>
      <c r="C29" s="10">
        <v>77</v>
      </c>
      <c r="D29" s="18" t="s">
        <v>593</v>
      </c>
      <c r="E29" s="12"/>
      <c r="F29" s="13"/>
      <c r="G29" s="15" t="s">
        <v>592</v>
      </c>
      <c r="H29" s="15"/>
      <c r="I29" s="15" t="s">
        <v>564</v>
      </c>
      <c r="J29" s="53"/>
    </row>
    <row r="30" spans="1:10" ht="24.95" customHeight="1" x14ac:dyDescent="0.35">
      <c r="A30" s="67"/>
      <c r="B30" s="55">
        <v>3</v>
      </c>
      <c r="C30" s="10">
        <v>78</v>
      </c>
      <c r="D30" s="18" t="s">
        <v>710</v>
      </c>
      <c r="E30" s="12"/>
      <c r="F30" s="13"/>
      <c r="G30" s="15" t="s">
        <v>709</v>
      </c>
      <c r="H30" s="15"/>
      <c r="I30" s="15" t="s">
        <v>577</v>
      </c>
      <c r="J30" s="53"/>
    </row>
    <row r="31" spans="1:10" ht="24.95" customHeight="1" x14ac:dyDescent="0.35">
      <c r="A31" s="67"/>
      <c r="B31" s="55">
        <v>2</v>
      </c>
      <c r="C31" s="10">
        <v>79</v>
      </c>
      <c r="D31" s="18" t="s">
        <v>595</v>
      </c>
      <c r="E31" s="12"/>
      <c r="F31" s="13"/>
      <c r="G31" s="15" t="s">
        <v>594</v>
      </c>
      <c r="H31" s="15"/>
      <c r="I31" s="15" t="s">
        <v>3</v>
      </c>
      <c r="J31" s="53"/>
    </row>
    <row r="32" spans="1:10" ht="24.95" customHeight="1" x14ac:dyDescent="0.35">
      <c r="A32" s="67"/>
      <c r="B32" s="55">
        <v>26</v>
      </c>
      <c r="C32" s="10">
        <v>80</v>
      </c>
      <c r="D32" s="18"/>
      <c r="E32" s="12"/>
      <c r="F32" s="13"/>
      <c r="G32" s="15" t="s">
        <v>711</v>
      </c>
      <c r="H32" s="15"/>
      <c r="I32" s="15" t="s">
        <v>712</v>
      </c>
      <c r="J32" s="53"/>
    </row>
    <row r="33" spans="1:10" ht="24.95" customHeight="1" x14ac:dyDescent="0.35">
      <c r="A33" s="67"/>
      <c r="B33" s="55">
        <v>22</v>
      </c>
      <c r="C33" s="10">
        <v>81</v>
      </c>
      <c r="D33" s="18"/>
      <c r="E33" s="12"/>
      <c r="F33" s="13"/>
      <c r="G33" s="15" t="s">
        <v>751</v>
      </c>
      <c r="H33" s="15"/>
      <c r="I33" s="15" t="s">
        <v>20</v>
      </c>
      <c r="J33" s="53"/>
    </row>
    <row r="34" spans="1:10" ht="24.95" customHeight="1" x14ac:dyDescent="0.35">
      <c r="A34" s="67"/>
      <c r="B34" s="55"/>
      <c r="C34" s="10"/>
      <c r="D34" s="18"/>
      <c r="E34" s="12"/>
      <c r="F34" s="13"/>
      <c r="G34" s="15"/>
      <c r="H34" s="15"/>
      <c r="I34" s="15"/>
      <c r="J34" s="53"/>
    </row>
    <row r="35" spans="1:10" ht="24.95" customHeight="1" x14ac:dyDescent="0.35">
      <c r="A35" s="67"/>
      <c r="B35" s="55"/>
      <c r="C35" s="10"/>
      <c r="D35" s="18"/>
      <c r="E35" s="12"/>
      <c r="F35" s="13"/>
      <c r="G35" s="15"/>
      <c r="H35" s="15"/>
      <c r="I35" s="15"/>
      <c r="J35" s="53"/>
    </row>
    <row r="36" spans="1:10" ht="24.95" customHeight="1" x14ac:dyDescent="0.35">
      <c r="A36" s="67"/>
      <c r="B36" s="55"/>
      <c r="C36" s="10"/>
      <c r="D36" s="18"/>
      <c r="E36" s="12"/>
      <c r="F36" s="13"/>
      <c r="G36" s="15"/>
      <c r="H36" s="15"/>
      <c r="I36" s="15"/>
      <c r="J36" s="53"/>
    </row>
    <row r="37" spans="1:10" ht="24.95" customHeight="1" x14ac:dyDescent="0.35">
      <c r="A37" s="67"/>
      <c r="B37" s="55"/>
      <c r="C37" s="10"/>
      <c r="D37" s="18"/>
      <c r="E37" s="12"/>
      <c r="F37" s="13"/>
      <c r="G37" s="15"/>
      <c r="H37" s="15"/>
      <c r="I37" s="15"/>
      <c r="J37" s="53"/>
    </row>
    <row r="38" spans="1:10" ht="24.95" customHeight="1" x14ac:dyDescent="0.35">
      <c r="A38" s="67"/>
      <c r="B38" s="55"/>
      <c r="C38" s="10"/>
      <c r="D38" s="18"/>
      <c r="E38" s="12"/>
      <c r="F38" s="13"/>
      <c r="G38" s="15"/>
      <c r="H38" s="15"/>
      <c r="I38" s="15"/>
      <c r="J38" s="53"/>
    </row>
    <row r="39" spans="1:10" ht="24.95" customHeight="1" x14ac:dyDescent="0.35">
      <c r="A39" s="67"/>
      <c r="B39" s="55"/>
      <c r="C39" s="10"/>
      <c r="D39" s="18"/>
      <c r="E39" s="12"/>
      <c r="F39" s="13"/>
      <c r="G39" s="15"/>
      <c r="H39" s="15"/>
      <c r="I39" s="15"/>
      <c r="J39" s="53"/>
    </row>
    <row r="40" spans="1:10" ht="24.95" customHeight="1" x14ac:dyDescent="0.35">
      <c r="A40" s="67"/>
      <c r="B40" s="55"/>
      <c r="C40" s="10"/>
      <c r="D40" s="18"/>
      <c r="E40" s="12"/>
      <c r="F40" s="13"/>
      <c r="G40" s="15"/>
      <c r="H40" s="15"/>
      <c r="I40" s="15"/>
      <c r="J40" s="53"/>
    </row>
    <row r="41" spans="1:10" ht="24.95" customHeight="1" x14ac:dyDescent="0.35">
      <c r="A41" s="67"/>
      <c r="B41" s="55"/>
      <c r="C41" s="10"/>
      <c r="D41" s="18"/>
      <c r="E41" s="12"/>
      <c r="F41" s="13"/>
      <c r="G41" s="15"/>
      <c r="H41" s="15"/>
      <c r="I41" s="15"/>
      <c r="J41" s="53"/>
    </row>
    <row r="42" spans="1:10" ht="24.95" customHeight="1" x14ac:dyDescent="0.35">
      <c r="A42" s="67"/>
      <c r="B42" s="55"/>
      <c r="C42" s="10"/>
      <c r="D42" s="18"/>
      <c r="E42" s="12"/>
      <c r="F42" s="13"/>
      <c r="G42" s="15"/>
      <c r="H42" s="15"/>
      <c r="I42" s="15"/>
      <c r="J42" s="53"/>
    </row>
    <row r="43" spans="1:10" ht="24.95" customHeight="1" x14ac:dyDescent="0.35">
      <c r="A43" s="67"/>
      <c r="B43" s="55"/>
      <c r="C43" s="10"/>
      <c r="D43" s="18"/>
      <c r="E43" s="12"/>
      <c r="F43" s="13"/>
      <c r="G43" s="15"/>
      <c r="H43" s="15"/>
      <c r="I43" s="15"/>
      <c r="J43" s="53"/>
    </row>
    <row r="44" spans="1:10" ht="24.95" customHeight="1" x14ac:dyDescent="0.35">
      <c r="A44" s="67"/>
      <c r="B44" s="55"/>
      <c r="C44" s="10"/>
      <c r="D44" s="18"/>
      <c r="E44" s="12"/>
      <c r="F44" s="13"/>
      <c r="G44" s="15"/>
      <c r="H44" s="15"/>
      <c r="I44" s="15"/>
      <c r="J44" s="53"/>
    </row>
    <row r="45" spans="1:10" ht="24.95" customHeight="1" x14ac:dyDescent="0.35">
      <c r="A45" s="67"/>
      <c r="B45" s="55"/>
      <c r="C45" s="10"/>
      <c r="D45" s="18"/>
      <c r="E45" s="12"/>
      <c r="F45" s="13"/>
      <c r="G45" s="15"/>
      <c r="H45" s="15"/>
      <c r="I45" s="15"/>
      <c r="J45" s="53"/>
    </row>
    <row r="46" spans="1:10" ht="24.95" customHeight="1" x14ac:dyDescent="0.35">
      <c r="A46" s="67"/>
      <c r="B46" s="55"/>
      <c r="C46" s="10"/>
      <c r="D46" s="18"/>
      <c r="E46" s="12"/>
      <c r="F46" s="13"/>
      <c r="G46" s="15"/>
      <c r="H46" s="15"/>
      <c r="I46" s="15"/>
      <c r="J46" s="53"/>
    </row>
    <row r="47" spans="1:10" ht="24.95" customHeight="1" x14ac:dyDescent="0.35">
      <c r="A47" s="67"/>
      <c r="B47" s="55"/>
      <c r="C47" s="10"/>
      <c r="D47" s="18"/>
      <c r="E47" s="12"/>
      <c r="F47" s="13"/>
      <c r="G47" s="15"/>
      <c r="H47" s="15"/>
      <c r="I47" s="15"/>
      <c r="J47" s="53"/>
    </row>
    <row r="48" spans="1:10" ht="24.95" customHeight="1" x14ac:dyDescent="0.35">
      <c r="A48" s="67"/>
      <c r="B48" s="55"/>
      <c r="C48" s="10"/>
      <c r="D48" s="18"/>
      <c r="E48" s="12"/>
      <c r="F48" s="13"/>
      <c r="G48" s="15"/>
      <c r="H48" s="15"/>
      <c r="I48" s="15"/>
      <c r="J48" s="53"/>
    </row>
    <row r="49" spans="1:10" ht="24.95" customHeight="1" x14ac:dyDescent="0.35">
      <c r="A49" s="67"/>
      <c r="B49" s="55"/>
      <c r="C49" s="10"/>
      <c r="D49" s="18"/>
      <c r="E49" s="12"/>
      <c r="F49" s="13"/>
      <c r="G49" s="15"/>
      <c r="H49" s="15"/>
      <c r="I49" s="15"/>
      <c r="J49" s="53"/>
    </row>
    <row r="50" spans="1:10" ht="24.95" customHeight="1" x14ac:dyDescent="0.35">
      <c r="A50" s="67"/>
      <c r="B50" s="55"/>
      <c r="C50" s="10"/>
      <c r="D50" s="18"/>
      <c r="E50" s="12"/>
      <c r="F50" s="13"/>
      <c r="G50" s="15"/>
      <c r="H50" s="15"/>
      <c r="I50" s="15"/>
      <c r="J50" s="53"/>
    </row>
    <row r="51" spans="1:10" ht="24.95" customHeight="1" x14ac:dyDescent="0.35">
      <c r="A51" s="67"/>
      <c r="B51" s="55"/>
      <c r="C51" s="10"/>
      <c r="D51" s="18"/>
      <c r="E51" s="12"/>
      <c r="F51" s="13"/>
      <c r="G51" s="15"/>
      <c r="H51" s="15"/>
      <c r="I51" s="15"/>
      <c r="J51" s="53"/>
    </row>
    <row r="52" spans="1:10" ht="24.95" customHeight="1" x14ac:dyDescent="0.35">
      <c r="A52" s="67"/>
      <c r="B52" s="55"/>
      <c r="C52" s="10"/>
      <c r="D52" s="18"/>
      <c r="E52" s="12"/>
      <c r="F52" s="13"/>
      <c r="G52" s="15"/>
      <c r="H52" s="15"/>
      <c r="I52" s="15"/>
      <c r="J52" s="53"/>
    </row>
    <row r="53" spans="1:10" ht="24.95" customHeight="1" x14ac:dyDescent="0.35">
      <c r="A53" s="67"/>
      <c r="B53" s="55"/>
      <c r="C53" s="10"/>
      <c r="D53" s="18"/>
      <c r="E53" s="12"/>
      <c r="F53" s="13"/>
      <c r="G53" s="15"/>
      <c r="H53" s="15"/>
      <c r="I53" s="15"/>
      <c r="J53" s="53"/>
    </row>
    <row r="54" spans="1:10" ht="24.95" customHeight="1" x14ac:dyDescent="0.35">
      <c r="A54" s="67"/>
      <c r="B54" s="55"/>
      <c r="C54" s="10"/>
      <c r="D54" s="18"/>
      <c r="E54" s="12"/>
      <c r="F54" s="13"/>
      <c r="G54" s="15"/>
      <c r="H54" s="15"/>
      <c r="I54" s="15"/>
      <c r="J54" s="53"/>
    </row>
    <row r="55" spans="1:10" ht="24.95" customHeight="1" x14ac:dyDescent="0.35">
      <c r="A55" s="67"/>
      <c r="B55" s="55"/>
      <c r="C55" s="10"/>
      <c r="D55" s="18"/>
      <c r="E55" s="12"/>
      <c r="F55" s="13"/>
      <c r="G55" s="15"/>
      <c r="H55" s="15"/>
      <c r="I55" s="15"/>
      <c r="J55" s="53"/>
    </row>
    <row r="56" spans="1:10" ht="24.95" customHeight="1" x14ac:dyDescent="0.35">
      <c r="A56" s="67"/>
      <c r="B56" s="55"/>
      <c r="C56" s="10"/>
      <c r="D56" s="18"/>
      <c r="E56" s="12"/>
      <c r="F56" s="13"/>
      <c r="G56" s="15"/>
      <c r="H56" s="15"/>
      <c r="I56" s="15"/>
      <c r="J56" s="53"/>
    </row>
    <row r="57" spans="1:10" ht="24.95" customHeight="1" x14ac:dyDescent="0.35">
      <c r="A57" s="67"/>
      <c r="B57" s="55"/>
      <c r="C57" s="10"/>
      <c r="D57" s="11"/>
      <c r="E57" s="12"/>
      <c r="F57" s="13"/>
      <c r="G57" s="15"/>
      <c r="H57" s="15"/>
      <c r="I57" s="15"/>
      <c r="J57" s="53"/>
    </row>
    <row r="58" spans="1:10" ht="24.95" customHeight="1" x14ac:dyDescent="0.35">
      <c r="A58" s="67"/>
      <c r="B58" s="55"/>
      <c r="C58" s="10"/>
      <c r="D58" s="18"/>
      <c r="E58" s="12"/>
      <c r="F58" s="13"/>
      <c r="G58" s="15"/>
      <c r="H58" s="15"/>
      <c r="I58" s="15"/>
      <c r="J58" s="53"/>
    </row>
    <row r="59" spans="1:10" ht="24.95" customHeight="1" x14ac:dyDescent="0.35">
      <c r="A59" s="67"/>
      <c r="B59" s="55"/>
      <c r="C59" s="10"/>
      <c r="D59" s="18"/>
      <c r="E59" s="12"/>
      <c r="F59" s="13"/>
      <c r="G59" s="15"/>
      <c r="H59" s="15"/>
      <c r="I59" s="15"/>
      <c r="J59" s="53"/>
    </row>
    <row r="60" spans="1:10" ht="24.95" customHeight="1" x14ac:dyDescent="0.35">
      <c r="A60" s="67"/>
      <c r="B60" s="55"/>
      <c r="C60" s="10"/>
      <c r="D60" s="18"/>
      <c r="E60" s="12"/>
      <c r="F60" s="13"/>
      <c r="G60" s="15"/>
      <c r="H60" s="15"/>
      <c r="I60" s="15"/>
      <c r="J60" s="53"/>
    </row>
    <row r="61" spans="1:10" ht="24.95" customHeight="1" x14ac:dyDescent="0.35">
      <c r="A61" s="67"/>
      <c r="B61" s="55"/>
      <c r="C61" s="10"/>
      <c r="D61" s="18"/>
      <c r="E61" s="12"/>
      <c r="F61" s="13"/>
      <c r="G61" s="15"/>
      <c r="H61" s="15"/>
      <c r="I61" s="15"/>
      <c r="J61" s="53"/>
    </row>
    <row r="62" spans="1:10" ht="24.95" customHeight="1" thickBot="1" x14ac:dyDescent="0.4">
      <c r="A62" s="68"/>
      <c r="B62" s="72"/>
      <c r="C62" s="19"/>
      <c r="D62" s="20"/>
      <c r="E62" s="21"/>
      <c r="F62" s="22"/>
      <c r="G62" s="23"/>
      <c r="H62" s="23"/>
      <c r="I62" s="23"/>
      <c r="J62" s="54"/>
    </row>
  </sheetData>
  <sheetProtection sheet="1" objects="1" scenarios="1"/>
  <mergeCells count="1">
    <mergeCell ref="D1:H1"/>
  </mergeCells>
  <conditionalFormatting sqref="C3:C62">
    <cfRule type="expression" dxfId="7" priority="1">
      <formula>$A3&lt;&gt;""</formula>
    </cfRule>
  </conditionalFormatting>
  <dataValidations count="2">
    <dataValidation type="list" allowBlank="1" showInputMessage="1" showErrorMessage="1" sqref="E3:E62" xr:uid="{00000000-0002-0000-0300-000000000000}">
      <formula1>Fédérations</formula1>
    </dataValidation>
    <dataValidation type="list" allowBlank="1" showInputMessage="1" showErrorMessage="1" sqref="B3:B62" xr:uid="{00000000-0002-0000-0300-000001000000}">
      <formula1>Rang</formula1>
    </dataValidation>
  </dataValidations>
  <pageMargins left="0.7" right="0.7" top="0.75" bottom="0.75" header="0.3" footer="0.3"/>
  <pageSetup paperSize="9" scale="70" fitToHeight="0" orientation="landscape" r:id="rId1"/>
  <headerFooter>
    <oddHeader>&amp;C&amp;"Arial Black"&amp;20Grand prix Oyeu-Burcin 2026</oddHeader>
    <oddFooter>&amp;C&amp;"Arial"&amp;G&amp;12AB =&gt; abandon        NC =&gt; non classé, arrivée en peloton        NP =&gt; non partant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theme="5" tint="0.39997558519241921"/>
    <pageSetUpPr fitToPage="1"/>
  </sheetPr>
  <dimension ref="A1:J62"/>
  <sheetViews>
    <sheetView showGridLines="0" showRowColHeaders="0" topLeftCell="A9" zoomScaleNormal="100" workbookViewId="0">
      <selection activeCell="D3" sqref="D3:D29"/>
    </sheetView>
  </sheetViews>
  <sheetFormatPr baseColWidth="10" defaultColWidth="11.3984375" defaultRowHeight="12.75" x14ac:dyDescent="0.35"/>
  <cols>
    <col min="1" max="1" width="7.59765625" style="8" customWidth="1"/>
    <col min="2" max="2" width="14.1328125" style="8" bestFit="1" customWidth="1"/>
    <col min="3" max="3" width="10.59765625" style="9" bestFit="1" customWidth="1"/>
    <col min="4" max="4" width="16.1328125" style="24" customWidth="1"/>
    <col min="5" max="5" width="13" style="8" bestFit="1" customWidth="1"/>
    <col min="6" max="6" width="15.265625" style="8" bestFit="1" customWidth="1"/>
    <col min="7" max="8" width="22.73046875" style="7" customWidth="1"/>
    <col min="9" max="9" width="47.73046875" style="7" customWidth="1"/>
    <col min="10" max="10" width="20.73046875" style="8" customWidth="1"/>
    <col min="11" max="16384" width="11.3984375" style="9"/>
  </cols>
  <sheetData>
    <row r="1" spans="1:10" s="29" customFormat="1" ht="91.9" customHeight="1" thickBot="1" x14ac:dyDescent="0.4">
      <c r="A1" s="28"/>
      <c r="B1" s="25" t="s">
        <v>164</v>
      </c>
      <c r="C1" s="26">
        <f>COUNTA(G3:G62)-COUNTIF(B3:B62,"NP")</f>
        <v>28</v>
      </c>
      <c r="D1" s="126"/>
      <c r="E1" s="126"/>
      <c r="F1" s="126"/>
      <c r="G1" s="126"/>
      <c r="H1" s="126"/>
      <c r="I1" s="27"/>
      <c r="J1" s="28"/>
    </row>
    <row r="2" spans="1:10" s="34" customFormat="1" ht="24.95" customHeight="1" x14ac:dyDescent="0.35">
      <c r="A2" s="73" t="s">
        <v>193</v>
      </c>
      <c r="B2" s="30" t="s">
        <v>143</v>
      </c>
      <c r="C2" s="31" t="s">
        <v>140</v>
      </c>
      <c r="D2" s="32" t="s">
        <v>141</v>
      </c>
      <c r="E2" s="31" t="s">
        <v>144</v>
      </c>
      <c r="F2" s="31" t="s">
        <v>145</v>
      </c>
      <c r="G2" s="66" t="s">
        <v>142</v>
      </c>
      <c r="H2" s="31" t="s">
        <v>192</v>
      </c>
      <c r="I2" s="31" t="s">
        <v>1</v>
      </c>
      <c r="J2" s="33" t="s">
        <v>153</v>
      </c>
    </row>
    <row r="3" spans="1:10" ht="24.95" customHeight="1" x14ac:dyDescent="0.35">
      <c r="A3" s="70"/>
      <c r="B3" s="55">
        <v>24</v>
      </c>
      <c r="C3" s="10">
        <v>51</v>
      </c>
      <c r="D3" s="18" t="s">
        <v>714</v>
      </c>
      <c r="E3" s="12"/>
      <c r="F3" s="13"/>
      <c r="G3" s="15" t="s">
        <v>713</v>
      </c>
      <c r="H3" s="14"/>
      <c r="I3" s="14" t="s">
        <v>577</v>
      </c>
      <c r="J3" s="51"/>
    </row>
    <row r="4" spans="1:10" ht="24.95" customHeight="1" x14ac:dyDescent="0.35">
      <c r="A4" s="69"/>
      <c r="B4" s="55">
        <v>3</v>
      </c>
      <c r="C4" s="10">
        <v>52</v>
      </c>
      <c r="D4" s="18" t="s">
        <v>717</v>
      </c>
      <c r="E4" s="12"/>
      <c r="F4" s="13"/>
      <c r="G4" s="15" t="s">
        <v>715</v>
      </c>
      <c r="H4" s="15"/>
      <c r="I4" s="15" t="s">
        <v>716</v>
      </c>
      <c r="J4" s="52"/>
    </row>
    <row r="5" spans="1:10" ht="24.95" customHeight="1" x14ac:dyDescent="0.35">
      <c r="A5" s="69"/>
      <c r="B5" s="97">
        <v>25</v>
      </c>
      <c r="C5" s="10">
        <v>53</v>
      </c>
      <c r="D5" s="18" t="s">
        <v>719</v>
      </c>
      <c r="E5" s="12"/>
      <c r="F5" s="13"/>
      <c r="G5" s="15" t="s">
        <v>718</v>
      </c>
      <c r="H5" s="14"/>
      <c r="I5" s="15" t="s">
        <v>564</v>
      </c>
      <c r="J5" s="51"/>
    </row>
    <row r="6" spans="1:10" ht="24.95" customHeight="1" x14ac:dyDescent="0.35">
      <c r="A6" s="69"/>
      <c r="B6" s="97">
        <v>11</v>
      </c>
      <c r="C6" s="10">
        <v>54</v>
      </c>
      <c r="D6" s="18" t="s">
        <v>599</v>
      </c>
      <c r="E6" s="12"/>
      <c r="F6" s="13"/>
      <c r="G6" s="15" t="s">
        <v>598</v>
      </c>
      <c r="H6" s="16"/>
      <c r="I6" s="16" t="s">
        <v>596</v>
      </c>
      <c r="J6" s="52"/>
    </row>
    <row r="7" spans="1:10" ht="24.95" customHeight="1" x14ac:dyDescent="0.35">
      <c r="A7" s="69"/>
      <c r="B7" s="97">
        <v>10</v>
      </c>
      <c r="C7" s="10">
        <v>55</v>
      </c>
      <c r="D7" s="18"/>
      <c r="E7" s="12"/>
      <c r="F7" s="13"/>
      <c r="G7" s="15" t="s">
        <v>720</v>
      </c>
      <c r="H7" s="15"/>
      <c r="I7" s="15" t="s">
        <v>563</v>
      </c>
      <c r="J7" s="53"/>
    </row>
    <row r="8" spans="1:10" ht="24.95" customHeight="1" x14ac:dyDescent="0.35">
      <c r="A8" s="69"/>
      <c r="B8" s="97">
        <v>22</v>
      </c>
      <c r="C8" s="10">
        <v>56</v>
      </c>
      <c r="D8" s="18" t="s">
        <v>44</v>
      </c>
      <c r="E8" s="12"/>
      <c r="F8" s="13"/>
      <c r="G8" s="15" t="s">
        <v>721</v>
      </c>
      <c r="H8" s="15"/>
      <c r="I8" s="15" t="s">
        <v>580</v>
      </c>
      <c r="J8" s="53"/>
    </row>
    <row r="9" spans="1:10" ht="24.95" customHeight="1" x14ac:dyDescent="0.35">
      <c r="A9" s="69"/>
      <c r="B9" s="55">
        <v>15</v>
      </c>
      <c r="C9" s="10">
        <v>57</v>
      </c>
      <c r="D9" s="18" t="s">
        <v>635</v>
      </c>
      <c r="E9" s="12"/>
      <c r="F9" s="13"/>
      <c r="G9" s="16" t="s">
        <v>634</v>
      </c>
      <c r="H9" s="16"/>
      <c r="I9" s="16" t="s">
        <v>564</v>
      </c>
      <c r="J9" s="52"/>
    </row>
    <row r="10" spans="1:10" ht="24.95" customHeight="1" x14ac:dyDescent="0.35">
      <c r="A10" s="69"/>
      <c r="B10" s="97">
        <v>13</v>
      </c>
      <c r="C10" s="10">
        <v>58</v>
      </c>
      <c r="D10" s="18"/>
      <c r="E10" s="12"/>
      <c r="F10" s="13"/>
      <c r="G10" s="15" t="s">
        <v>604</v>
      </c>
      <c r="H10" s="15"/>
      <c r="I10" s="15" t="s">
        <v>579</v>
      </c>
      <c r="J10" s="52"/>
    </row>
    <row r="11" spans="1:10" ht="24.95" customHeight="1" x14ac:dyDescent="0.35">
      <c r="A11" s="69"/>
      <c r="B11" s="55">
        <v>18</v>
      </c>
      <c r="C11" s="10">
        <v>59</v>
      </c>
      <c r="D11" s="96" t="s">
        <v>723</v>
      </c>
      <c r="E11" s="12"/>
      <c r="F11" s="13"/>
      <c r="G11" s="15" t="s">
        <v>722</v>
      </c>
      <c r="H11" s="14"/>
      <c r="I11" s="14" t="s">
        <v>596</v>
      </c>
      <c r="J11" s="51"/>
    </row>
    <row r="12" spans="1:10" ht="24.95" customHeight="1" x14ac:dyDescent="0.35">
      <c r="A12" s="69"/>
      <c r="B12" s="97">
        <v>9</v>
      </c>
      <c r="C12" s="10">
        <v>60</v>
      </c>
      <c r="D12" s="11" t="s">
        <v>606</v>
      </c>
      <c r="E12" s="12"/>
      <c r="F12" s="13"/>
      <c r="G12" s="15" t="s">
        <v>605</v>
      </c>
      <c r="H12" s="15"/>
      <c r="I12" s="15" t="s">
        <v>563</v>
      </c>
      <c r="J12" s="53"/>
    </row>
    <row r="13" spans="1:10" ht="24.95" customHeight="1" x14ac:dyDescent="0.35">
      <c r="A13" s="69"/>
      <c r="B13" s="97">
        <v>2</v>
      </c>
      <c r="C13" s="10">
        <v>61</v>
      </c>
      <c r="D13" s="18" t="s">
        <v>610</v>
      </c>
      <c r="E13" s="12"/>
      <c r="F13" s="13"/>
      <c r="G13" s="15" t="s">
        <v>609</v>
      </c>
      <c r="H13" s="15"/>
      <c r="I13" s="15" t="s">
        <v>596</v>
      </c>
      <c r="J13" s="53"/>
    </row>
    <row r="14" spans="1:10" ht="24.95" customHeight="1" x14ac:dyDescent="0.35">
      <c r="A14" s="69"/>
      <c r="B14" s="55">
        <v>1</v>
      </c>
      <c r="C14" s="10">
        <v>62</v>
      </c>
      <c r="D14" s="18" t="s">
        <v>725</v>
      </c>
      <c r="E14" s="12"/>
      <c r="F14" s="13"/>
      <c r="G14" s="15" t="s">
        <v>724</v>
      </c>
      <c r="H14" s="15"/>
      <c r="I14" s="15" t="s">
        <v>596</v>
      </c>
      <c r="J14" s="53"/>
    </row>
    <row r="15" spans="1:10" ht="24.95" customHeight="1" x14ac:dyDescent="0.35">
      <c r="A15" s="69"/>
      <c r="B15" s="97">
        <v>23</v>
      </c>
      <c r="C15" s="10">
        <v>63</v>
      </c>
      <c r="D15" s="11" t="s">
        <v>727</v>
      </c>
      <c r="E15" s="12"/>
      <c r="F15" s="13"/>
      <c r="G15" s="15" t="s">
        <v>726</v>
      </c>
      <c r="H15" s="15"/>
      <c r="I15" s="15" t="s">
        <v>564</v>
      </c>
      <c r="J15" s="52"/>
    </row>
    <row r="16" spans="1:10" ht="24.95" customHeight="1" x14ac:dyDescent="0.35">
      <c r="A16" s="69"/>
      <c r="B16" s="55">
        <v>26</v>
      </c>
      <c r="C16" s="10">
        <v>64</v>
      </c>
      <c r="D16" s="18"/>
      <c r="E16" s="12"/>
      <c r="F16" s="13"/>
      <c r="G16" s="15" t="s">
        <v>611</v>
      </c>
      <c r="H16" s="15"/>
      <c r="I16" s="15"/>
      <c r="J16" s="53"/>
    </row>
    <row r="17" spans="1:10" ht="24.95" customHeight="1" x14ac:dyDescent="0.35">
      <c r="A17" s="69"/>
      <c r="B17" s="55">
        <v>27</v>
      </c>
      <c r="C17" s="10">
        <v>65</v>
      </c>
      <c r="D17" s="18"/>
      <c r="E17" s="12"/>
      <c r="F17" s="13"/>
      <c r="G17" s="15" t="s">
        <v>612</v>
      </c>
      <c r="H17" s="15"/>
      <c r="I17" s="15"/>
      <c r="J17" s="53"/>
    </row>
    <row r="18" spans="1:10" ht="24.95" customHeight="1" x14ac:dyDescent="0.35">
      <c r="A18" s="69"/>
      <c r="B18" s="97">
        <v>19</v>
      </c>
      <c r="C18" s="10">
        <v>66</v>
      </c>
      <c r="D18" s="18" t="s">
        <v>614</v>
      </c>
      <c r="E18" s="12"/>
      <c r="F18" s="13"/>
      <c r="G18" s="15" t="s">
        <v>613</v>
      </c>
      <c r="H18" s="15"/>
      <c r="I18" s="15" t="s">
        <v>580</v>
      </c>
      <c r="J18" s="53"/>
    </row>
    <row r="19" spans="1:10" ht="24.95" customHeight="1" x14ac:dyDescent="0.35">
      <c r="A19" s="69"/>
      <c r="B19" s="55">
        <v>6</v>
      </c>
      <c r="C19" s="10">
        <v>67</v>
      </c>
      <c r="D19" s="18" t="s">
        <v>90</v>
      </c>
      <c r="E19" s="12"/>
      <c r="F19" s="13"/>
      <c r="G19" s="15" t="s">
        <v>615</v>
      </c>
      <c r="H19" s="15"/>
      <c r="I19" s="15" t="s">
        <v>563</v>
      </c>
      <c r="J19" s="53"/>
    </row>
    <row r="20" spans="1:10" ht="24.95" customHeight="1" x14ac:dyDescent="0.35">
      <c r="A20" s="69"/>
      <c r="B20" s="97">
        <v>8</v>
      </c>
      <c r="C20" s="10">
        <v>68</v>
      </c>
      <c r="D20" s="18" t="s">
        <v>729</v>
      </c>
      <c r="E20" s="12"/>
      <c r="F20" s="13"/>
      <c r="G20" s="15" t="s">
        <v>728</v>
      </c>
      <c r="H20" s="15"/>
      <c r="I20" s="15" t="s">
        <v>41</v>
      </c>
      <c r="J20" s="53"/>
    </row>
    <row r="21" spans="1:10" ht="24.95" customHeight="1" x14ac:dyDescent="0.35">
      <c r="A21" s="69"/>
      <c r="B21" s="55">
        <v>4</v>
      </c>
      <c r="C21" s="10">
        <v>69</v>
      </c>
      <c r="D21" s="18" t="s">
        <v>617</v>
      </c>
      <c r="E21" s="12"/>
      <c r="F21" s="13"/>
      <c r="G21" s="15" t="s">
        <v>616</v>
      </c>
      <c r="H21" s="15"/>
      <c r="I21" s="15" t="s">
        <v>563</v>
      </c>
      <c r="J21" s="53"/>
    </row>
    <row r="22" spans="1:10" ht="24.95" customHeight="1" x14ac:dyDescent="0.35">
      <c r="A22" s="67"/>
      <c r="B22" s="55">
        <v>21</v>
      </c>
      <c r="C22" s="10">
        <v>70</v>
      </c>
      <c r="D22" s="11" t="s">
        <v>93</v>
      </c>
      <c r="E22" s="12"/>
      <c r="F22" s="13"/>
      <c r="G22" s="15" t="s">
        <v>618</v>
      </c>
      <c r="H22" s="15"/>
      <c r="I22" s="15" t="s">
        <v>577</v>
      </c>
      <c r="J22" s="53"/>
    </row>
    <row r="23" spans="1:10" ht="24.95" customHeight="1" x14ac:dyDescent="0.35">
      <c r="A23" s="67"/>
      <c r="B23" s="55">
        <v>12</v>
      </c>
      <c r="C23" s="10">
        <v>71</v>
      </c>
      <c r="D23" s="18"/>
      <c r="E23" s="12"/>
      <c r="F23" s="13"/>
      <c r="G23" s="15" t="s">
        <v>619</v>
      </c>
      <c r="H23" s="15"/>
      <c r="I23" s="15" t="s">
        <v>573</v>
      </c>
      <c r="J23" s="53"/>
    </row>
    <row r="24" spans="1:10" ht="24.95" customHeight="1" x14ac:dyDescent="0.35">
      <c r="A24" s="67"/>
      <c r="B24" s="97">
        <v>20</v>
      </c>
      <c r="C24" s="10">
        <v>72</v>
      </c>
      <c r="D24" s="18" t="s">
        <v>621</v>
      </c>
      <c r="E24" s="12"/>
      <c r="F24" s="13"/>
      <c r="G24" s="15" t="s">
        <v>620</v>
      </c>
      <c r="H24" s="15"/>
      <c r="I24" s="15" t="s">
        <v>577</v>
      </c>
      <c r="J24" s="53"/>
    </row>
    <row r="25" spans="1:10" ht="24.95" customHeight="1" x14ac:dyDescent="0.35">
      <c r="A25" s="67"/>
      <c r="B25" s="55">
        <v>7</v>
      </c>
      <c r="C25" s="10">
        <v>73</v>
      </c>
      <c r="D25" s="18" t="s">
        <v>483</v>
      </c>
      <c r="E25" s="12"/>
      <c r="F25" s="13"/>
      <c r="G25" s="15" t="s">
        <v>622</v>
      </c>
      <c r="H25" s="15"/>
      <c r="I25" s="15" t="s">
        <v>577</v>
      </c>
      <c r="J25" s="53"/>
    </row>
    <row r="26" spans="1:10" ht="24.95" customHeight="1" x14ac:dyDescent="0.35">
      <c r="A26" s="67"/>
      <c r="B26" s="55">
        <v>17</v>
      </c>
      <c r="C26" s="10">
        <v>74</v>
      </c>
      <c r="D26" s="18" t="s">
        <v>624</v>
      </c>
      <c r="E26" s="12"/>
      <c r="F26" s="13"/>
      <c r="G26" s="15" t="s">
        <v>623</v>
      </c>
      <c r="H26" s="15"/>
      <c r="I26" s="15" t="s">
        <v>563</v>
      </c>
      <c r="J26" s="53"/>
    </row>
    <row r="27" spans="1:10" ht="24.95" customHeight="1" x14ac:dyDescent="0.35">
      <c r="A27" s="67"/>
      <c r="B27" s="97">
        <v>16</v>
      </c>
      <c r="C27" s="10">
        <v>75</v>
      </c>
      <c r="D27" s="18" t="s">
        <v>731</v>
      </c>
      <c r="E27" s="12"/>
      <c r="F27" s="13"/>
      <c r="G27" s="15" t="s">
        <v>730</v>
      </c>
      <c r="H27" s="15"/>
      <c r="I27" s="15" t="s">
        <v>577</v>
      </c>
      <c r="J27" s="53"/>
    </row>
    <row r="28" spans="1:10" ht="24.95" customHeight="1" x14ac:dyDescent="0.35">
      <c r="A28" s="67"/>
      <c r="B28" s="55">
        <v>5</v>
      </c>
      <c r="C28" s="10">
        <v>76</v>
      </c>
      <c r="D28" s="18" t="s">
        <v>628</v>
      </c>
      <c r="E28" s="12"/>
      <c r="F28" s="13"/>
      <c r="G28" s="15" t="s">
        <v>627</v>
      </c>
      <c r="H28" s="15"/>
      <c r="I28" s="15" t="s">
        <v>577</v>
      </c>
      <c r="J28" s="53"/>
    </row>
    <row r="29" spans="1:10" ht="24.95" customHeight="1" x14ac:dyDescent="0.35">
      <c r="A29" s="67"/>
      <c r="B29" s="97">
        <v>14</v>
      </c>
      <c r="C29" s="10">
        <v>77</v>
      </c>
      <c r="D29" s="18" t="s">
        <v>631</v>
      </c>
      <c r="E29" s="12"/>
      <c r="F29" s="13"/>
      <c r="G29" s="15" t="s">
        <v>630</v>
      </c>
      <c r="H29" s="15"/>
      <c r="I29" s="15" t="s">
        <v>3</v>
      </c>
      <c r="J29" s="53"/>
    </row>
    <row r="30" spans="1:10" ht="24.95" customHeight="1" x14ac:dyDescent="0.35">
      <c r="A30" s="67"/>
      <c r="B30" s="97" t="s">
        <v>395</v>
      </c>
      <c r="C30" s="10">
        <v>78</v>
      </c>
      <c r="D30" s="18" t="s">
        <v>733</v>
      </c>
      <c r="E30" s="12"/>
      <c r="F30" s="13"/>
      <c r="G30" s="15" t="s">
        <v>732</v>
      </c>
      <c r="H30" s="15"/>
      <c r="I30" s="15" t="s">
        <v>563</v>
      </c>
      <c r="J30" s="53"/>
    </row>
    <row r="31" spans="1:10" ht="24.95" customHeight="1" x14ac:dyDescent="0.35">
      <c r="A31" s="67"/>
      <c r="B31" s="55"/>
      <c r="C31" s="10"/>
      <c r="D31" s="18"/>
      <c r="E31" s="12"/>
      <c r="F31" s="13"/>
      <c r="G31" s="15"/>
      <c r="H31" s="15"/>
      <c r="I31" s="15"/>
      <c r="J31" s="53"/>
    </row>
    <row r="32" spans="1:10" ht="24.95" customHeight="1" x14ac:dyDescent="0.35">
      <c r="A32" s="67"/>
      <c r="B32" s="97"/>
      <c r="C32" s="10"/>
      <c r="D32" s="18"/>
      <c r="E32" s="12"/>
      <c r="F32" s="13"/>
      <c r="G32" s="15"/>
      <c r="H32" s="15"/>
      <c r="I32" s="15"/>
      <c r="J32" s="53"/>
    </row>
    <row r="33" spans="1:10" ht="24.95" customHeight="1" x14ac:dyDescent="0.35">
      <c r="A33" s="67"/>
      <c r="B33" s="55"/>
      <c r="C33" s="10"/>
      <c r="D33" s="18"/>
      <c r="E33" s="12"/>
      <c r="F33" s="13"/>
      <c r="G33" s="15"/>
      <c r="H33" s="15"/>
      <c r="I33" s="15"/>
      <c r="J33" s="53"/>
    </row>
    <row r="34" spans="1:10" ht="24.95" customHeight="1" x14ac:dyDescent="0.35">
      <c r="A34" s="67"/>
      <c r="B34" s="55"/>
      <c r="C34" s="10"/>
      <c r="D34" s="18"/>
      <c r="E34" s="12"/>
      <c r="F34" s="13"/>
      <c r="G34" s="15"/>
      <c r="H34" s="15"/>
      <c r="I34" s="15"/>
      <c r="J34" s="53"/>
    </row>
    <row r="35" spans="1:10" ht="24.95" customHeight="1" x14ac:dyDescent="0.35">
      <c r="A35" s="67"/>
      <c r="B35" s="97"/>
      <c r="C35" s="10"/>
      <c r="D35" s="18"/>
      <c r="E35" s="12"/>
      <c r="F35" s="13"/>
      <c r="G35" s="15"/>
      <c r="H35" s="15"/>
      <c r="I35" s="15"/>
      <c r="J35" s="53"/>
    </row>
    <row r="36" spans="1:10" ht="24.95" customHeight="1" x14ac:dyDescent="0.35">
      <c r="A36" s="67"/>
      <c r="B36" s="97"/>
      <c r="C36" s="10"/>
      <c r="D36" s="18"/>
      <c r="E36" s="12"/>
      <c r="F36" s="13"/>
      <c r="G36" s="15"/>
      <c r="H36" s="15"/>
      <c r="I36" s="15"/>
      <c r="J36" s="53"/>
    </row>
    <row r="37" spans="1:10" ht="24.95" customHeight="1" x14ac:dyDescent="0.35">
      <c r="A37" s="67"/>
      <c r="B37" s="55"/>
      <c r="C37" s="10"/>
      <c r="D37" s="18"/>
      <c r="E37" s="12"/>
      <c r="F37" s="13"/>
      <c r="G37" s="15"/>
      <c r="H37" s="15"/>
      <c r="I37" s="15"/>
      <c r="J37" s="53"/>
    </row>
    <row r="38" spans="1:10" ht="24.95" customHeight="1" x14ac:dyDescent="0.35">
      <c r="A38" s="67"/>
      <c r="B38" s="55"/>
      <c r="C38" s="10"/>
      <c r="D38" s="18"/>
      <c r="E38" s="12"/>
      <c r="F38" s="13"/>
      <c r="G38" s="15"/>
      <c r="H38" s="15"/>
      <c r="I38" s="15"/>
      <c r="J38" s="53"/>
    </row>
    <row r="39" spans="1:10" ht="24.95" customHeight="1" x14ac:dyDescent="0.35">
      <c r="A39" s="67"/>
      <c r="B39" s="55"/>
      <c r="C39" s="10"/>
      <c r="D39" s="18"/>
      <c r="E39" s="12"/>
      <c r="F39" s="13"/>
      <c r="G39" s="15"/>
      <c r="H39" s="15"/>
      <c r="I39" s="15"/>
      <c r="J39" s="53"/>
    </row>
    <row r="40" spans="1:10" ht="24.95" customHeight="1" x14ac:dyDescent="0.35">
      <c r="A40" s="67"/>
      <c r="B40" s="55"/>
      <c r="C40" s="10"/>
      <c r="D40" s="18"/>
      <c r="E40" s="12"/>
      <c r="F40" s="13"/>
      <c r="G40" s="15"/>
      <c r="H40" s="15"/>
      <c r="I40" s="15"/>
      <c r="J40" s="53"/>
    </row>
    <row r="41" spans="1:10" ht="24.95" customHeight="1" x14ac:dyDescent="0.35">
      <c r="A41" s="67"/>
      <c r="B41" s="55"/>
      <c r="C41" s="10"/>
      <c r="D41" s="18"/>
      <c r="E41" s="12"/>
      <c r="F41" s="13"/>
      <c r="G41" s="15"/>
      <c r="H41" s="15"/>
      <c r="I41" s="15"/>
      <c r="J41" s="53"/>
    </row>
    <row r="42" spans="1:10" ht="24.95" customHeight="1" x14ac:dyDescent="0.35">
      <c r="A42" s="67"/>
      <c r="B42" s="55"/>
      <c r="C42" s="10"/>
      <c r="D42" s="18"/>
      <c r="E42" s="12"/>
      <c r="F42" s="13"/>
      <c r="G42" s="15"/>
      <c r="H42" s="15"/>
      <c r="I42" s="15"/>
      <c r="J42" s="53"/>
    </row>
    <row r="43" spans="1:10" ht="24.95" customHeight="1" x14ac:dyDescent="0.35">
      <c r="A43" s="67"/>
      <c r="B43" s="55"/>
      <c r="C43" s="10"/>
      <c r="D43" s="18"/>
      <c r="E43" s="12"/>
      <c r="F43" s="13"/>
      <c r="G43" s="15"/>
      <c r="H43" s="15"/>
      <c r="I43" s="15"/>
      <c r="J43" s="53"/>
    </row>
    <row r="44" spans="1:10" ht="24.95" customHeight="1" x14ac:dyDescent="0.35">
      <c r="A44" s="67"/>
      <c r="B44" s="55"/>
      <c r="C44" s="10"/>
      <c r="D44" s="18"/>
      <c r="E44" s="13"/>
      <c r="F44" s="13"/>
      <c r="G44" s="15"/>
      <c r="H44" s="15"/>
      <c r="I44" s="15"/>
      <c r="J44" s="53"/>
    </row>
    <row r="45" spans="1:10" ht="24.95" customHeight="1" x14ac:dyDescent="0.35">
      <c r="A45" s="67"/>
      <c r="B45" s="55"/>
      <c r="C45" s="10"/>
      <c r="D45" s="18"/>
      <c r="E45" s="12"/>
      <c r="F45" s="13"/>
      <c r="G45" s="15"/>
      <c r="H45" s="15"/>
      <c r="I45" s="15"/>
      <c r="J45" s="53"/>
    </row>
    <row r="46" spans="1:10" ht="24.95" customHeight="1" x14ac:dyDescent="0.35">
      <c r="A46" s="67"/>
      <c r="B46" s="55"/>
      <c r="C46" s="10"/>
      <c r="D46" s="18"/>
      <c r="E46" s="13"/>
      <c r="F46" s="13"/>
      <c r="G46" s="15"/>
      <c r="H46" s="15"/>
      <c r="I46" s="15"/>
      <c r="J46" s="53"/>
    </row>
    <row r="47" spans="1:10" ht="24.95" customHeight="1" x14ac:dyDescent="0.35">
      <c r="A47" s="67"/>
      <c r="B47" s="55"/>
      <c r="C47" s="10"/>
      <c r="D47" s="18"/>
      <c r="E47" s="13"/>
      <c r="F47" s="13"/>
      <c r="G47" s="15"/>
      <c r="H47" s="15"/>
      <c r="I47" s="15"/>
      <c r="J47" s="53"/>
    </row>
    <row r="48" spans="1:10" ht="24.95" customHeight="1" x14ac:dyDescent="0.35">
      <c r="A48" s="67"/>
      <c r="B48" s="97"/>
      <c r="C48" s="10"/>
      <c r="D48" s="18"/>
      <c r="E48" s="12"/>
      <c r="F48" s="13"/>
      <c r="G48" s="15"/>
      <c r="H48" s="15"/>
      <c r="I48" s="15"/>
      <c r="J48" s="53"/>
    </row>
    <row r="49" spans="1:10" ht="24.95" customHeight="1" x14ac:dyDescent="0.35">
      <c r="A49" s="67"/>
      <c r="B49" s="55"/>
      <c r="C49" s="10"/>
      <c r="D49" s="18"/>
      <c r="E49" s="12"/>
      <c r="F49" s="13"/>
      <c r="G49" s="15"/>
      <c r="H49" s="15"/>
      <c r="I49" s="15"/>
      <c r="J49" s="53"/>
    </row>
    <row r="50" spans="1:10" ht="24.95" customHeight="1" x14ac:dyDescent="0.35">
      <c r="A50" s="67"/>
      <c r="B50" s="55"/>
      <c r="C50" s="10"/>
      <c r="D50" s="18"/>
      <c r="E50" s="13"/>
      <c r="F50" s="13"/>
      <c r="G50" s="15"/>
      <c r="H50" s="15"/>
      <c r="I50" s="15"/>
      <c r="J50" s="53"/>
    </row>
    <row r="51" spans="1:10" ht="24.95" customHeight="1" x14ac:dyDescent="0.35">
      <c r="A51" s="67"/>
      <c r="B51" s="55"/>
      <c r="C51" s="10"/>
      <c r="D51" s="18"/>
      <c r="E51" s="12"/>
      <c r="F51" s="13"/>
      <c r="J51" s="53"/>
    </row>
    <row r="52" spans="1:10" ht="24.95" customHeight="1" x14ac:dyDescent="0.35">
      <c r="A52" s="67"/>
      <c r="B52" s="55"/>
      <c r="C52" s="10"/>
      <c r="D52" s="18"/>
      <c r="E52" s="12"/>
      <c r="F52" s="13"/>
      <c r="G52" s="15"/>
      <c r="H52" s="15"/>
      <c r="I52" s="15"/>
      <c r="J52" s="53"/>
    </row>
    <row r="53" spans="1:10" ht="24.95" customHeight="1" x14ac:dyDescent="0.35">
      <c r="A53" s="67"/>
      <c r="B53" s="55"/>
      <c r="C53" s="10"/>
      <c r="D53" s="18"/>
      <c r="E53" s="12"/>
      <c r="F53" s="13"/>
      <c r="G53" s="15"/>
      <c r="H53" s="15"/>
      <c r="I53" s="15"/>
      <c r="J53" s="53"/>
    </row>
    <row r="54" spans="1:10" ht="24.95" customHeight="1" x14ac:dyDescent="0.35">
      <c r="A54" s="67"/>
      <c r="B54" s="55"/>
      <c r="C54" s="10"/>
      <c r="D54" s="18"/>
      <c r="E54" s="12"/>
      <c r="F54" s="13"/>
      <c r="G54" s="15"/>
      <c r="H54" s="15"/>
      <c r="I54" s="15"/>
      <c r="J54" s="53"/>
    </row>
    <row r="55" spans="1:10" ht="24.95" customHeight="1" x14ac:dyDescent="0.35">
      <c r="A55" s="67"/>
      <c r="B55" s="55"/>
      <c r="C55" s="10"/>
      <c r="D55" s="18"/>
      <c r="E55" s="12"/>
      <c r="F55" s="13"/>
      <c r="G55" s="15"/>
      <c r="H55" s="15"/>
      <c r="I55" s="15"/>
      <c r="J55" s="53"/>
    </row>
    <row r="56" spans="1:10" ht="24.95" customHeight="1" x14ac:dyDescent="0.35">
      <c r="A56" s="67"/>
      <c r="B56" s="55"/>
      <c r="C56" s="10"/>
      <c r="D56" s="18"/>
      <c r="E56" s="12"/>
      <c r="F56" s="13"/>
      <c r="G56" s="15"/>
      <c r="H56" s="15"/>
      <c r="I56" s="15"/>
      <c r="J56" s="53"/>
    </row>
    <row r="57" spans="1:10" ht="24.95" customHeight="1" x14ac:dyDescent="0.35">
      <c r="A57" s="67"/>
      <c r="B57" s="55"/>
      <c r="C57" s="10"/>
      <c r="D57" s="11"/>
      <c r="E57" s="12"/>
      <c r="F57" s="13"/>
      <c r="G57" s="15"/>
      <c r="H57" s="15"/>
      <c r="I57" s="15"/>
      <c r="J57" s="53"/>
    </row>
    <row r="58" spans="1:10" ht="24.95" customHeight="1" x14ac:dyDescent="0.35">
      <c r="A58" s="67"/>
      <c r="B58" s="55"/>
      <c r="C58" s="10"/>
      <c r="D58" s="18"/>
      <c r="E58" s="12"/>
      <c r="F58" s="13"/>
      <c r="G58" s="15"/>
      <c r="H58" s="15"/>
      <c r="I58" s="15"/>
      <c r="J58" s="53"/>
    </row>
    <row r="59" spans="1:10" ht="24.95" customHeight="1" x14ac:dyDescent="0.35">
      <c r="A59" s="67"/>
      <c r="B59" s="55"/>
      <c r="C59" s="10"/>
      <c r="D59" s="18"/>
      <c r="E59" s="12"/>
      <c r="F59" s="13"/>
      <c r="G59" s="15"/>
      <c r="H59" s="15"/>
      <c r="I59" s="15"/>
      <c r="J59" s="53"/>
    </row>
    <row r="60" spans="1:10" ht="24.95" customHeight="1" x14ac:dyDescent="0.35">
      <c r="A60" s="67"/>
      <c r="B60" s="55"/>
      <c r="C60" s="10"/>
      <c r="D60" s="18"/>
      <c r="E60" s="13"/>
      <c r="F60" s="13"/>
      <c r="G60" s="15"/>
      <c r="H60" s="15"/>
      <c r="I60" s="15"/>
      <c r="J60" s="53"/>
    </row>
    <row r="61" spans="1:10" ht="24.95" customHeight="1" x14ac:dyDescent="0.35">
      <c r="A61" s="67"/>
      <c r="B61" s="55"/>
      <c r="C61" s="10"/>
      <c r="D61" s="18"/>
      <c r="E61" s="12"/>
      <c r="F61" s="13"/>
      <c r="G61" s="15"/>
      <c r="H61" s="15"/>
      <c r="I61" s="15"/>
      <c r="J61" s="53"/>
    </row>
    <row r="62" spans="1:10" ht="24.95" customHeight="1" thickBot="1" x14ac:dyDescent="0.4">
      <c r="A62" s="68"/>
      <c r="B62" s="72"/>
      <c r="C62" s="10"/>
      <c r="D62" s="20"/>
      <c r="E62" s="21"/>
      <c r="F62" s="22"/>
      <c r="G62" s="23"/>
      <c r="H62" s="23"/>
      <c r="I62" s="23"/>
      <c r="J62" s="54"/>
    </row>
  </sheetData>
  <sheetProtection sheet="1" objects="1" scenarios="1"/>
  <mergeCells count="1">
    <mergeCell ref="D1:H1"/>
  </mergeCells>
  <conditionalFormatting sqref="C3:C62">
    <cfRule type="expression" dxfId="6" priority="1">
      <formula>$A3&lt;&gt;""</formula>
    </cfRule>
  </conditionalFormatting>
  <dataValidations count="2">
    <dataValidation type="list" allowBlank="1" showInputMessage="1" showErrorMessage="1" sqref="E3:E62" xr:uid="{00000000-0002-0000-0400-000000000000}">
      <formula1>Fédérations</formula1>
    </dataValidation>
    <dataValidation type="list" allowBlank="1" showInputMessage="1" showErrorMessage="1" sqref="B3:B62" xr:uid="{00000000-0002-0000-0400-000001000000}">
      <formula1>Rang</formula1>
    </dataValidation>
  </dataValidations>
  <pageMargins left="0.7" right="0.7" top="0.75" bottom="0.75" header="0.3" footer="0.3"/>
  <pageSetup paperSize="9" scale="70" fitToHeight="0" orientation="landscape" r:id="rId1"/>
  <headerFooter>
    <oddHeader>&amp;C&amp;"Arial Black"&amp;20Grand prix Oyeu-Burcin 2026</oddHeader>
    <oddFooter>&amp;C&amp;"Arial"&amp;G&amp;12AB =&gt; abandon        NC =&gt; non classé, arrivée en peloton        NP =&gt; non partant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>
    <tabColor theme="5" tint="0.39997558519241921"/>
    <pageSetUpPr fitToPage="1"/>
  </sheetPr>
  <dimension ref="A1:J62"/>
  <sheetViews>
    <sheetView showGridLines="0" showRowColHeaders="0" workbookViewId="0">
      <selection activeCell="D3" sqref="D3:D17"/>
    </sheetView>
  </sheetViews>
  <sheetFormatPr baseColWidth="10" defaultColWidth="11.3984375" defaultRowHeight="12.75" x14ac:dyDescent="0.35"/>
  <cols>
    <col min="1" max="1" width="7.59765625" style="8" customWidth="1"/>
    <col min="2" max="2" width="14.1328125" style="8" bestFit="1" customWidth="1"/>
    <col min="3" max="3" width="10.59765625" style="9" bestFit="1" customWidth="1"/>
    <col min="4" max="4" width="16.1328125" style="24" customWidth="1"/>
    <col min="5" max="5" width="13" style="8" bestFit="1" customWidth="1"/>
    <col min="6" max="6" width="15.265625" style="8" bestFit="1" customWidth="1"/>
    <col min="7" max="8" width="22.73046875" style="7" customWidth="1"/>
    <col min="9" max="9" width="47.73046875" style="7" customWidth="1"/>
    <col min="10" max="10" width="20.73046875" style="8" customWidth="1"/>
    <col min="11" max="16384" width="11.3984375" style="9"/>
  </cols>
  <sheetData>
    <row r="1" spans="1:10" s="29" customFormat="1" ht="91.9" customHeight="1" thickBot="1" x14ac:dyDescent="0.4">
      <c r="A1" s="28"/>
      <c r="B1" s="25" t="s">
        <v>164</v>
      </c>
      <c r="C1" s="26">
        <f>COUNTA(G3:G62)-COUNTIF(B3:B62,"NP")</f>
        <v>15</v>
      </c>
      <c r="D1" s="126"/>
      <c r="E1" s="126"/>
      <c r="F1" s="126"/>
      <c r="G1" s="126"/>
      <c r="H1" s="126"/>
      <c r="I1" s="27"/>
      <c r="J1" s="28"/>
    </row>
    <row r="2" spans="1:10" s="34" customFormat="1" ht="24.95" customHeight="1" x14ac:dyDescent="0.35">
      <c r="A2" s="73" t="s">
        <v>193</v>
      </c>
      <c r="B2" s="30" t="s">
        <v>143</v>
      </c>
      <c r="C2" s="31" t="s">
        <v>140</v>
      </c>
      <c r="D2" s="32" t="s">
        <v>141</v>
      </c>
      <c r="E2" s="31" t="s">
        <v>144</v>
      </c>
      <c r="F2" s="31" t="s">
        <v>145</v>
      </c>
      <c r="G2" s="66" t="s">
        <v>142</v>
      </c>
      <c r="H2" s="31" t="s">
        <v>192</v>
      </c>
      <c r="I2" s="31" t="s">
        <v>1</v>
      </c>
      <c r="J2" s="33" t="s">
        <v>153</v>
      </c>
    </row>
    <row r="3" spans="1:10" ht="24.95" customHeight="1" x14ac:dyDescent="0.35">
      <c r="A3" s="70"/>
      <c r="B3" s="55">
        <v>10</v>
      </c>
      <c r="C3" s="10">
        <v>1</v>
      </c>
      <c r="D3" s="18" t="s">
        <v>735</v>
      </c>
      <c r="E3" s="12"/>
      <c r="F3" s="13"/>
      <c r="G3" s="15" t="s">
        <v>734</v>
      </c>
      <c r="H3" s="14"/>
      <c r="I3" s="14" t="s">
        <v>41</v>
      </c>
      <c r="J3" s="51"/>
    </row>
    <row r="4" spans="1:10" ht="24.95" customHeight="1" x14ac:dyDescent="0.35">
      <c r="A4" s="69"/>
      <c r="B4" s="55">
        <v>2</v>
      </c>
      <c r="C4" s="10">
        <v>2</v>
      </c>
      <c r="D4" s="18" t="s">
        <v>32</v>
      </c>
      <c r="E4" s="12"/>
      <c r="F4" s="13"/>
      <c r="G4" s="15" t="s">
        <v>597</v>
      </c>
      <c r="H4" s="15"/>
      <c r="I4" s="15" t="s">
        <v>580</v>
      </c>
      <c r="J4" s="52"/>
    </row>
    <row r="5" spans="1:10" ht="24.95" customHeight="1" x14ac:dyDescent="0.35">
      <c r="A5" s="69"/>
      <c r="B5" s="55">
        <v>15</v>
      </c>
      <c r="C5" s="10">
        <v>3</v>
      </c>
      <c r="D5" s="18" t="s">
        <v>633</v>
      </c>
      <c r="E5" s="12"/>
      <c r="F5" s="13"/>
      <c r="G5" s="15" t="s">
        <v>632</v>
      </c>
      <c r="H5" s="14"/>
      <c r="I5" s="15" t="s">
        <v>577</v>
      </c>
      <c r="J5" s="51"/>
    </row>
    <row r="6" spans="1:10" ht="24.95" customHeight="1" x14ac:dyDescent="0.35">
      <c r="A6" s="69"/>
      <c r="B6" s="55">
        <v>11</v>
      </c>
      <c r="C6" s="10">
        <v>4</v>
      </c>
      <c r="D6" s="11" t="s">
        <v>737</v>
      </c>
      <c r="E6" s="12"/>
      <c r="F6" s="13"/>
      <c r="G6" s="15" t="s">
        <v>736</v>
      </c>
      <c r="H6" s="16"/>
      <c r="I6" s="16" t="s">
        <v>577</v>
      </c>
      <c r="J6" s="52"/>
    </row>
    <row r="7" spans="1:10" ht="24.95" customHeight="1" x14ac:dyDescent="0.35">
      <c r="A7" s="69"/>
      <c r="B7" s="55">
        <v>4</v>
      </c>
      <c r="C7" s="10">
        <v>5</v>
      </c>
      <c r="D7" s="18" t="s">
        <v>608</v>
      </c>
      <c r="E7" s="12"/>
      <c r="F7" s="13"/>
      <c r="G7" s="15" t="s">
        <v>607</v>
      </c>
      <c r="H7" s="15"/>
      <c r="I7" s="15" t="s">
        <v>563</v>
      </c>
      <c r="J7" s="53"/>
    </row>
    <row r="8" spans="1:10" ht="24.95" customHeight="1" x14ac:dyDescent="0.35">
      <c r="A8" s="69"/>
      <c r="B8" s="55">
        <v>12</v>
      </c>
      <c r="C8" s="10">
        <v>6</v>
      </c>
      <c r="D8" s="18" t="s">
        <v>73</v>
      </c>
      <c r="E8" s="12"/>
      <c r="F8" s="13"/>
      <c r="G8" s="15" t="s">
        <v>637</v>
      </c>
      <c r="H8" s="15"/>
      <c r="I8" s="15" t="s">
        <v>580</v>
      </c>
      <c r="J8" s="53"/>
    </row>
    <row r="9" spans="1:10" ht="24.95" customHeight="1" x14ac:dyDescent="0.35">
      <c r="A9" s="69"/>
      <c r="B9" s="55">
        <v>7</v>
      </c>
      <c r="C9" s="10">
        <v>7</v>
      </c>
      <c r="D9" s="18" t="s">
        <v>638</v>
      </c>
      <c r="E9" s="12"/>
      <c r="F9" s="13"/>
      <c r="G9" s="16" t="s">
        <v>738</v>
      </c>
      <c r="H9" s="16"/>
      <c r="I9" s="16" t="s">
        <v>3</v>
      </c>
      <c r="J9" s="52"/>
    </row>
    <row r="10" spans="1:10" ht="24.95" customHeight="1" x14ac:dyDescent="0.35">
      <c r="A10" s="69"/>
      <c r="B10" s="55">
        <v>8</v>
      </c>
      <c r="C10" s="10">
        <v>8</v>
      </c>
      <c r="D10" s="18" t="s">
        <v>740</v>
      </c>
      <c r="E10" s="12"/>
      <c r="F10" s="13"/>
      <c r="G10" s="15" t="s">
        <v>739</v>
      </c>
      <c r="H10" s="15"/>
      <c r="I10" s="15" t="s">
        <v>563</v>
      </c>
      <c r="J10" s="53"/>
    </row>
    <row r="11" spans="1:10" ht="24.95" customHeight="1" x14ac:dyDescent="0.35">
      <c r="A11" s="69"/>
      <c r="B11" s="55">
        <v>6</v>
      </c>
      <c r="C11" s="10">
        <v>9</v>
      </c>
      <c r="D11" s="96" t="s">
        <v>91</v>
      </c>
      <c r="E11" s="12"/>
      <c r="F11" s="13"/>
      <c r="G11" s="15" t="s">
        <v>639</v>
      </c>
      <c r="H11" s="14"/>
      <c r="I11" s="14" t="s">
        <v>596</v>
      </c>
      <c r="J11" s="52"/>
    </row>
    <row r="12" spans="1:10" ht="24.95" customHeight="1" x14ac:dyDescent="0.35">
      <c r="A12" s="69"/>
      <c r="B12" s="55">
        <v>1</v>
      </c>
      <c r="C12" s="10">
        <v>10</v>
      </c>
      <c r="D12" s="18" t="s">
        <v>641</v>
      </c>
      <c r="E12" s="12"/>
      <c r="F12" s="13"/>
      <c r="G12" s="15" t="s">
        <v>640</v>
      </c>
      <c r="H12" s="15"/>
      <c r="I12" s="15" t="s">
        <v>577</v>
      </c>
      <c r="J12" s="53"/>
    </row>
    <row r="13" spans="1:10" ht="24.95" customHeight="1" x14ac:dyDescent="0.35">
      <c r="A13" s="69"/>
      <c r="B13" s="55">
        <v>9</v>
      </c>
      <c r="C13" s="10">
        <v>11</v>
      </c>
      <c r="D13" s="11" t="s">
        <v>626</v>
      </c>
      <c r="E13" s="12"/>
      <c r="F13" s="13"/>
      <c r="G13" s="15" t="s">
        <v>625</v>
      </c>
      <c r="H13" s="15"/>
      <c r="I13" s="15" t="s">
        <v>563</v>
      </c>
      <c r="J13" s="53"/>
    </row>
    <row r="14" spans="1:10" ht="24.95" customHeight="1" x14ac:dyDescent="0.35">
      <c r="A14" s="69"/>
      <c r="B14" s="55">
        <v>5</v>
      </c>
      <c r="C14" s="10">
        <v>12</v>
      </c>
      <c r="D14" s="18" t="s">
        <v>742</v>
      </c>
      <c r="E14" s="12"/>
      <c r="F14" s="13"/>
      <c r="G14" s="15" t="s">
        <v>741</v>
      </c>
      <c r="H14" s="15"/>
      <c r="I14" s="15" t="s">
        <v>41</v>
      </c>
      <c r="J14" s="53"/>
    </row>
    <row r="15" spans="1:10" ht="24.95" customHeight="1" x14ac:dyDescent="0.35">
      <c r="A15" s="69"/>
      <c r="B15" s="55">
        <v>14</v>
      </c>
      <c r="C15" s="10">
        <v>13</v>
      </c>
      <c r="D15" s="11" t="s">
        <v>34</v>
      </c>
      <c r="E15" s="12"/>
      <c r="F15" s="13"/>
      <c r="G15" s="15" t="s">
        <v>642</v>
      </c>
      <c r="H15" s="15"/>
      <c r="I15" s="15" t="s">
        <v>564</v>
      </c>
      <c r="J15" s="53"/>
    </row>
    <row r="16" spans="1:10" ht="24.95" customHeight="1" x14ac:dyDescent="0.35">
      <c r="A16" s="69"/>
      <c r="B16" s="55">
        <v>3</v>
      </c>
      <c r="C16" s="10">
        <v>14</v>
      </c>
      <c r="D16" s="11" t="s">
        <v>59</v>
      </c>
      <c r="E16" s="12"/>
      <c r="F16" s="13"/>
      <c r="G16" s="15" t="s">
        <v>636</v>
      </c>
      <c r="H16" s="15"/>
      <c r="I16" s="15" t="s">
        <v>41</v>
      </c>
      <c r="J16" s="53"/>
    </row>
    <row r="17" spans="1:10" ht="24.95" customHeight="1" x14ac:dyDescent="0.35">
      <c r="A17" s="69"/>
      <c r="B17" s="55">
        <v>13</v>
      </c>
      <c r="C17" s="10">
        <v>15</v>
      </c>
      <c r="D17" s="11" t="s">
        <v>84</v>
      </c>
      <c r="E17" s="12"/>
      <c r="F17" s="13"/>
      <c r="G17" s="15" t="s">
        <v>743</v>
      </c>
      <c r="H17" s="15"/>
      <c r="I17" s="15" t="s">
        <v>580</v>
      </c>
      <c r="J17" s="53"/>
    </row>
    <row r="18" spans="1:10" ht="24.95" customHeight="1" x14ac:dyDescent="0.35">
      <c r="A18" s="69"/>
      <c r="B18" s="55"/>
      <c r="C18" s="10"/>
      <c r="D18" s="11"/>
      <c r="E18" s="12"/>
      <c r="F18" s="13"/>
      <c r="G18" s="15"/>
      <c r="H18" s="15"/>
      <c r="I18" s="15"/>
      <c r="J18" s="53"/>
    </row>
    <row r="19" spans="1:10" ht="24.95" customHeight="1" x14ac:dyDescent="0.35">
      <c r="A19" s="69"/>
      <c r="B19" s="55"/>
      <c r="C19" s="10"/>
      <c r="D19" s="18"/>
      <c r="E19" s="12"/>
      <c r="F19" s="13"/>
      <c r="G19" s="15"/>
      <c r="H19" s="15"/>
      <c r="I19" s="15"/>
      <c r="J19" s="53"/>
    </row>
    <row r="20" spans="1:10" ht="24.95" customHeight="1" x14ac:dyDescent="0.35">
      <c r="A20" s="69"/>
      <c r="B20" s="55"/>
      <c r="C20" s="10"/>
      <c r="D20" s="11"/>
      <c r="E20" s="12"/>
      <c r="F20" s="13"/>
      <c r="G20" s="15"/>
      <c r="H20" s="15"/>
      <c r="I20" s="15"/>
      <c r="J20" s="53"/>
    </row>
    <row r="21" spans="1:10" ht="24.95" customHeight="1" x14ac:dyDescent="0.35">
      <c r="A21" s="67"/>
      <c r="B21" s="55"/>
      <c r="C21" s="10"/>
      <c r="D21" s="18"/>
      <c r="E21" s="12"/>
      <c r="F21" s="13"/>
      <c r="G21" s="15"/>
      <c r="H21" s="15"/>
      <c r="I21" s="15"/>
      <c r="J21" s="53"/>
    </row>
    <row r="22" spans="1:10" ht="24.95" customHeight="1" x14ac:dyDescent="0.35">
      <c r="A22" s="67"/>
      <c r="B22" s="55"/>
      <c r="C22" s="10"/>
      <c r="D22" s="18"/>
      <c r="E22" s="12"/>
      <c r="F22" s="13"/>
      <c r="G22" s="15"/>
      <c r="H22" s="15"/>
      <c r="I22" s="15"/>
      <c r="J22" s="53"/>
    </row>
    <row r="23" spans="1:10" ht="24.95" customHeight="1" x14ac:dyDescent="0.35">
      <c r="A23" s="67"/>
      <c r="B23" s="55"/>
      <c r="C23" s="10"/>
      <c r="D23" s="18"/>
      <c r="E23" s="12"/>
      <c r="F23" s="13"/>
      <c r="G23" s="15"/>
      <c r="H23" s="15"/>
      <c r="I23" s="15"/>
      <c r="J23" s="53"/>
    </row>
    <row r="24" spans="1:10" ht="24.95" customHeight="1" x14ac:dyDescent="0.35">
      <c r="A24" s="67"/>
      <c r="B24" s="55"/>
      <c r="C24" s="10"/>
      <c r="D24" s="18"/>
      <c r="E24" s="12"/>
      <c r="F24" s="13"/>
      <c r="G24" s="15"/>
      <c r="H24" s="15"/>
      <c r="I24" s="15"/>
      <c r="J24" s="53"/>
    </row>
    <row r="25" spans="1:10" ht="24.95" customHeight="1" x14ac:dyDescent="0.35">
      <c r="A25" s="67"/>
      <c r="B25" s="55"/>
      <c r="C25" s="10"/>
      <c r="D25" s="18"/>
      <c r="E25" s="12"/>
      <c r="F25" s="13"/>
      <c r="G25" s="15"/>
      <c r="H25" s="15"/>
      <c r="I25" s="15"/>
      <c r="J25" s="53"/>
    </row>
    <row r="26" spans="1:10" ht="24.95" customHeight="1" x14ac:dyDescent="0.35">
      <c r="A26" s="67"/>
      <c r="B26" s="55"/>
      <c r="C26" s="10"/>
      <c r="D26" s="18"/>
      <c r="E26" s="12"/>
      <c r="F26" s="13"/>
      <c r="G26" s="15"/>
      <c r="H26" s="15"/>
      <c r="I26" s="15"/>
      <c r="J26" s="53"/>
    </row>
    <row r="27" spans="1:10" ht="24.95" customHeight="1" x14ac:dyDescent="0.35">
      <c r="A27" s="67"/>
      <c r="B27" s="55"/>
      <c r="C27" s="10"/>
      <c r="D27" s="18"/>
      <c r="E27" s="12"/>
      <c r="F27" s="13"/>
      <c r="G27" s="15"/>
      <c r="H27" s="15"/>
      <c r="I27" s="15"/>
      <c r="J27" s="53"/>
    </row>
    <row r="28" spans="1:10" ht="24.95" customHeight="1" x14ac:dyDescent="0.35">
      <c r="A28" s="67"/>
      <c r="B28" s="55"/>
      <c r="C28" s="10"/>
      <c r="D28" s="18"/>
      <c r="E28" s="12"/>
      <c r="F28" s="13"/>
      <c r="G28" s="15"/>
      <c r="H28" s="15"/>
      <c r="I28" s="15"/>
      <c r="J28" s="53"/>
    </row>
    <row r="29" spans="1:10" ht="24.95" customHeight="1" x14ac:dyDescent="0.35">
      <c r="A29" s="67"/>
      <c r="B29" s="55"/>
      <c r="C29" s="10"/>
      <c r="D29" s="18"/>
      <c r="E29" s="12"/>
      <c r="F29" s="13"/>
      <c r="G29" s="15"/>
      <c r="H29" s="15"/>
      <c r="I29" s="15"/>
      <c r="J29" s="53"/>
    </row>
    <row r="30" spans="1:10" ht="24.95" customHeight="1" x14ac:dyDescent="0.35">
      <c r="A30" s="67"/>
      <c r="B30" s="55"/>
      <c r="C30" s="10"/>
      <c r="D30" s="18"/>
      <c r="E30" s="12"/>
      <c r="F30" s="13"/>
      <c r="G30" s="15"/>
      <c r="H30" s="15"/>
      <c r="I30" s="15"/>
      <c r="J30" s="53"/>
    </row>
    <row r="31" spans="1:10" ht="24.95" customHeight="1" x14ac:dyDescent="0.35">
      <c r="A31" s="67"/>
      <c r="B31" s="55"/>
      <c r="C31" s="10"/>
      <c r="D31" s="18"/>
      <c r="E31" s="12"/>
      <c r="F31" s="13"/>
      <c r="G31" s="15"/>
      <c r="H31" s="15"/>
      <c r="I31" s="15"/>
      <c r="J31" s="53"/>
    </row>
    <row r="32" spans="1:10" ht="24.95" customHeight="1" x14ac:dyDescent="0.35">
      <c r="A32" s="67"/>
      <c r="B32" s="55"/>
      <c r="C32" s="10"/>
      <c r="D32" s="18"/>
      <c r="E32" s="12"/>
      <c r="F32" s="13"/>
      <c r="G32" s="15"/>
      <c r="H32" s="15"/>
      <c r="I32" s="15"/>
      <c r="J32" s="53"/>
    </row>
    <row r="33" spans="1:10" ht="24.95" customHeight="1" x14ac:dyDescent="0.35">
      <c r="A33" s="67"/>
      <c r="B33" s="55"/>
      <c r="C33" s="10"/>
      <c r="D33" s="18"/>
      <c r="E33" s="12"/>
      <c r="F33" s="13"/>
      <c r="G33" s="15"/>
      <c r="H33" s="15"/>
      <c r="I33" s="15"/>
      <c r="J33" s="53"/>
    </row>
    <row r="34" spans="1:10" ht="24.95" customHeight="1" x14ac:dyDescent="0.35">
      <c r="A34" s="67"/>
      <c r="B34" s="55"/>
      <c r="C34" s="10"/>
      <c r="D34" s="18"/>
      <c r="E34" s="12"/>
      <c r="F34" s="13"/>
      <c r="G34" s="15"/>
      <c r="H34" s="15"/>
      <c r="I34" s="15"/>
      <c r="J34" s="53"/>
    </row>
    <row r="35" spans="1:10" ht="24.95" customHeight="1" x14ac:dyDescent="0.35">
      <c r="A35" s="67"/>
      <c r="B35" s="55"/>
      <c r="C35" s="10"/>
      <c r="D35" s="18"/>
      <c r="E35" s="12"/>
      <c r="F35" s="13"/>
      <c r="G35" s="15"/>
      <c r="H35" s="15"/>
      <c r="I35" s="15"/>
      <c r="J35" s="53"/>
    </row>
    <row r="36" spans="1:10" ht="24.95" customHeight="1" x14ac:dyDescent="0.35">
      <c r="A36" s="67"/>
      <c r="B36" s="55"/>
      <c r="C36" s="10"/>
      <c r="D36" s="18"/>
      <c r="E36" s="12"/>
      <c r="F36" s="13"/>
      <c r="G36" s="15"/>
      <c r="H36" s="15"/>
      <c r="I36" s="15"/>
      <c r="J36" s="53"/>
    </row>
    <row r="37" spans="1:10" ht="24.95" customHeight="1" x14ac:dyDescent="0.35">
      <c r="A37" s="67"/>
      <c r="B37" s="55"/>
      <c r="C37" s="10"/>
      <c r="D37" s="18"/>
      <c r="E37" s="12"/>
      <c r="F37" s="13"/>
      <c r="G37" s="15"/>
      <c r="H37" s="15"/>
      <c r="I37" s="15"/>
      <c r="J37" s="53"/>
    </row>
    <row r="38" spans="1:10" ht="24.95" customHeight="1" x14ac:dyDescent="0.35">
      <c r="A38" s="67"/>
      <c r="B38" s="55"/>
      <c r="C38" s="10"/>
      <c r="D38" s="18"/>
      <c r="E38" s="12"/>
      <c r="F38" s="13"/>
      <c r="G38" s="15"/>
      <c r="H38" s="15"/>
      <c r="I38" s="15"/>
      <c r="J38" s="53"/>
    </row>
    <row r="39" spans="1:10" ht="24.95" customHeight="1" x14ac:dyDescent="0.35">
      <c r="A39" s="67"/>
      <c r="B39" s="55"/>
      <c r="C39" s="10"/>
      <c r="D39" s="18"/>
      <c r="E39" s="12"/>
      <c r="F39" s="13"/>
      <c r="G39" s="15"/>
      <c r="H39" s="15"/>
      <c r="I39" s="15"/>
      <c r="J39" s="53"/>
    </row>
    <row r="40" spans="1:10" ht="24.95" customHeight="1" x14ac:dyDescent="0.35">
      <c r="A40" s="67"/>
      <c r="B40" s="55"/>
      <c r="C40" s="10"/>
      <c r="D40" s="18"/>
      <c r="E40" s="12"/>
      <c r="F40" s="13"/>
      <c r="G40" s="15"/>
      <c r="H40" s="15"/>
      <c r="I40" s="15"/>
      <c r="J40" s="53"/>
    </row>
    <row r="41" spans="1:10" ht="24.95" customHeight="1" x14ac:dyDescent="0.35">
      <c r="A41" s="67"/>
      <c r="B41" s="55"/>
      <c r="C41" s="10"/>
      <c r="D41" s="18"/>
      <c r="E41" s="12"/>
      <c r="F41" s="13"/>
      <c r="G41" s="15"/>
      <c r="H41" s="15"/>
      <c r="I41" s="15"/>
      <c r="J41" s="53"/>
    </row>
    <row r="42" spans="1:10" ht="24.95" customHeight="1" x14ac:dyDescent="0.35">
      <c r="A42" s="67"/>
      <c r="B42" s="55"/>
      <c r="C42" s="10"/>
      <c r="D42" s="18"/>
      <c r="E42" s="12"/>
      <c r="F42" s="13"/>
      <c r="G42" s="15"/>
      <c r="H42" s="15"/>
      <c r="I42" s="15"/>
      <c r="J42" s="53"/>
    </row>
    <row r="43" spans="1:10" ht="24.95" customHeight="1" x14ac:dyDescent="0.35">
      <c r="A43" s="67"/>
      <c r="B43" s="55"/>
      <c r="C43" s="10"/>
      <c r="D43" s="18"/>
      <c r="E43" s="12"/>
      <c r="F43" s="13"/>
      <c r="G43" s="15"/>
      <c r="H43" s="15"/>
      <c r="I43" s="15"/>
      <c r="J43" s="53"/>
    </row>
    <row r="44" spans="1:10" ht="24.95" customHeight="1" x14ac:dyDescent="0.35">
      <c r="A44" s="67"/>
      <c r="B44" s="55"/>
      <c r="C44" s="10"/>
      <c r="D44" s="18"/>
      <c r="E44" s="12"/>
      <c r="F44" s="13"/>
      <c r="G44" s="15"/>
      <c r="H44" s="15"/>
      <c r="I44" s="15"/>
      <c r="J44" s="53"/>
    </row>
    <row r="45" spans="1:10" ht="24.95" customHeight="1" x14ac:dyDescent="0.35">
      <c r="A45" s="67"/>
      <c r="B45" s="55"/>
      <c r="C45" s="10"/>
      <c r="D45" s="18"/>
      <c r="E45" s="12"/>
      <c r="F45" s="13"/>
      <c r="G45" s="15"/>
      <c r="H45" s="15"/>
      <c r="I45" s="15"/>
      <c r="J45" s="53"/>
    </row>
    <row r="46" spans="1:10" ht="24.95" customHeight="1" x14ac:dyDescent="0.35">
      <c r="A46" s="67"/>
      <c r="B46" s="55"/>
      <c r="C46" s="10"/>
      <c r="D46" s="18"/>
      <c r="E46" s="12"/>
      <c r="F46" s="13"/>
      <c r="G46" s="15"/>
      <c r="H46" s="15"/>
      <c r="I46" s="15"/>
      <c r="J46" s="53"/>
    </row>
    <row r="47" spans="1:10" ht="24.95" customHeight="1" x14ac:dyDescent="0.35">
      <c r="A47" s="67"/>
      <c r="B47" s="55"/>
      <c r="C47" s="10"/>
      <c r="D47" s="18"/>
      <c r="E47" s="12"/>
      <c r="F47" s="13"/>
      <c r="G47" s="15"/>
      <c r="H47" s="15"/>
      <c r="I47" s="15"/>
      <c r="J47" s="53"/>
    </row>
    <row r="48" spans="1:10" ht="24.95" customHeight="1" x14ac:dyDescent="0.35">
      <c r="A48" s="67"/>
      <c r="B48" s="55"/>
      <c r="C48" s="10"/>
      <c r="D48" s="18"/>
      <c r="E48" s="12"/>
      <c r="F48" s="13"/>
      <c r="G48" s="15"/>
      <c r="H48" s="15"/>
      <c r="I48" s="15"/>
      <c r="J48" s="53"/>
    </row>
    <row r="49" spans="1:10" ht="24.95" customHeight="1" x14ac:dyDescent="0.35">
      <c r="A49" s="67"/>
      <c r="B49" s="55"/>
      <c r="C49" s="10"/>
      <c r="D49" s="18"/>
      <c r="E49" s="12"/>
      <c r="F49" s="13"/>
      <c r="G49" s="15"/>
      <c r="H49" s="15"/>
      <c r="I49" s="15"/>
      <c r="J49" s="53"/>
    </row>
    <row r="50" spans="1:10" ht="24.95" customHeight="1" x14ac:dyDescent="0.35">
      <c r="A50" s="67"/>
      <c r="B50" s="55"/>
      <c r="C50" s="10"/>
      <c r="D50" s="18"/>
      <c r="E50" s="12"/>
      <c r="F50" s="13"/>
      <c r="G50" s="15"/>
      <c r="H50" s="15"/>
      <c r="I50" s="15"/>
      <c r="J50" s="53"/>
    </row>
    <row r="51" spans="1:10" ht="24.95" customHeight="1" x14ac:dyDescent="0.35">
      <c r="A51" s="67"/>
      <c r="B51" s="55"/>
      <c r="C51" s="10"/>
      <c r="D51" s="18"/>
      <c r="E51" s="12"/>
      <c r="F51" s="13"/>
      <c r="G51" s="15"/>
      <c r="H51" s="15"/>
      <c r="I51" s="15"/>
      <c r="J51" s="53"/>
    </row>
    <row r="52" spans="1:10" ht="24.95" customHeight="1" x14ac:dyDescent="0.35">
      <c r="A52" s="67"/>
      <c r="B52" s="55"/>
      <c r="C52" s="10"/>
      <c r="D52" s="18"/>
      <c r="E52" s="12"/>
      <c r="F52" s="13"/>
      <c r="G52" s="15"/>
      <c r="H52" s="15"/>
      <c r="I52" s="15"/>
      <c r="J52" s="53"/>
    </row>
    <row r="53" spans="1:10" ht="24.95" customHeight="1" x14ac:dyDescent="0.35">
      <c r="A53" s="67"/>
      <c r="B53" s="55"/>
      <c r="C53" s="10"/>
      <c r="D53" s="18"/>
      <c r="E53" s="12"/>
      <c r="F53" s="13"/>
      <c r="G53" s="15"/>
      <c r="H53" s="15"/>
      <c r="I53" s="15"/>
      <c r="J53" s="53"/>
    </row>
    <row r="54" spans="1:10" ht="24.95" customHeight="1" x14ac:dyDescent="0.35">
      <c r="A54" s="67"/>
      <c r="B54" s="55"/>
      <c r="C54" s="10"/>
      <c r="D54" s="18"/>
      <c r="E54" s="12"/>
      <c r="F54" s="13"/>
      <c r="G54" s="15"/>
      <c r="H54" s="15"/>
      <c r="I54" s="15"/>
      <c r="J54" s="53"/>
    </row>
    <row r="55" spans="1:10" ht="24.95" customHeight="1" x14ac:dyDescent="0.35">
      <c r="A55" s="67"/>
      <c r="B55" s="55"/>
      <c r="C55" s="10"/>
      <c r="D55" s="18"/>
      <c r="E55" s="12"/>
      <c r="F55" s="13"/>
      <c r="G55" s="15"/>
      <c r="H55" s="15"/>
      <c r="I55" s="15"/>
      <c r="J55" s="53"/>
    </row>
    <row r="56" spans="1:10" ht="24.95" customHeight="1" x14ac:dyDescent="0.35">
      <c r="A56" s="67"/>
      <c r="B56" s="55"/>
      <c r="C56" s="10"/>
      <c r="D56" s="18"/>
      <c r="E56" s="12"/>
      <c r="F56" s="13"/>
      <c r="G56" s="15"/>
      <c r="H56" s="15"/>
      <c r="I56" s="15"/>
      <c r="J56" s="53"/>
    </row>
    <row r="57" spans="1:10" ht="24.95" customHeight="1" x14ac:dyDescent="0.35">
      <c r="A57" s="67"/>
      <c r="B57" s="55"/>
      <c r="C57" s="10"/>
      <c r="D57" s="11"/>
      <c r="E57" s="12"/>
      <c r="F57" s="13"/>
      <c r="G57" s="15"/>
      <c r="H57" s="15"/>
      <c r="I57" s="15"/>
      <c r="J57" s="53"/>
    </row>
    <row r="58" spans="1:10" ht="24.95" customHeight="1" x14ac:dyDescent="0.35">
      <c r="A58" s="67"/>
      <c r="B58" s="55"/>
      <c r="C58" s="10"/>
      <c r="D58" s="18"/>
      <c r="E58" s="12"/>
      <c r="F58" s="13"/>
      <c r="G58" s="15"/>
      <c r="H58" s="15"/>
      <c r="I58" s="15"/>
      <c r="J58" s="53"/>
    </row>
    <row r="59" spans="1:10" ht="24.95" customHeight="1" x14ac:dyDescent="0.35">
      <c r="A59" s="67"/>
      <c r="B59" s="55"/>
      <c r="C59" s="10"/>
      <c r="D59" s="18"/>
      <c r="E59" s="12"/>
      <c r="F59" s="13"/>
      <c r="G59" s="15"/>
      <c r="H59" s="15"/>
      <c r="I59" s="15"/>
      <c r="J59" s="53"/>
    </row>
    <row r="60" spans="1:10" ht="24.95" customHeight="1" x14ac:dyDescent="0.35">
      <c r="A60" s="67"/>
      <c r="B60" s="55"/>
      <c r="C60" s="10"/>
      <c r="D60" s="18"/>
      <c r="E60" s="12"/>
      <c r="F60" s="13"/>
      <c r="G60" s="15"/>
      <c r="H60" s="15"/>
      <c r="I60" s="15"/>
      <c r="J60" s="53"/>
    </row>
    <row r="61" spans="1:10" ht="24.95" customHeight="1" x14ac:dyDescent="0.35">
      <c r="A61" s="67"/>
      <c r="B61" s="55"/>
      <c r="C61" s="10"/>
      <c r="D61" s="18"/>
      <c r="E61" s="12"/>
      <c r="F61" s="13"/>
      <c r="G61" s="15"/>
      <c r="H61" s="15"/>
      <c r="I61" s="15"/>
      <c r="J61" s="53"/>
    </row>
    <row r="62" spans="1:10" ht="24.95" customHeight="1" thickBot="1" x14ac:dyDescent="0.4">
      <c r="A62" s="68"/>
      <c r="B62" s="72"/>
      <c r="C62" s="19"/>
      <c r="D62" s="20"/>
      <c r="E62" s="21"/>
      <c r="F62" s="22"/>
      <c r="G62" s="23"/>
      <c r="H62" s="23"/>
      <c r="I62" s="23"/>
      <c r="J62" s="54"/>
    </row>
  </sheetData>
  <sheetProtection sheet="1" objects="1" scenarios="1"/>
  <mergeCells count="1">
    <mergeCell ref="D1:H1"/>
  </mergeCells>
  <conditionalFormatting sqref="C3:C62">
    <cfRule type="expression" dxfId="5" priority="1">
      <formula>$A3&lt;&gt;""</formula>
    </cfRule>
  </conditionalFormatting>
  <dataValidations count="2">
    <dataValidation type="list" allowBlank="1" showInputMessage="1" showErrorMessage="1" sqref="E3:E62" xr:uid="{00000000-0002-0000-0500-000000000000}">
      <formula1>Fédérations</formula1>
    </dataValidation>
    <dataValidation type="list" allowBlank="1" showInputMessage="1" showErrorMessage="1" sqref="B3:B62" xr:uid="{00000000-0002-0000-0500-000001000000}">
      <formula1>Rang</formula1>
    </dataValidation>
  </dataValidations>
  <pageMargins left="0.7" right="0.7" top="0.75" bottom="0.75" header="0.3" footer="0.3"/>
  <pageSetup paperSize="9" scale="70" fitToHeight="0" orientation="landscape" r:id="rId1"/>
  <headerFooter>
    <oddHeader>&amp;C&amp;"Arial Black"&amp;20Grand prix Oyeu-Burcin 2026</oddHeader>
    <oddFooter>&amp;C&amp;"Arial"&amp;G&amp;12AB =&gt; abandon        NC =&gt; non classé, arrivée en peloton        NP =&gt; non partant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6">
    <tabColor theme="5" tint="0.39997558519241921"/>
    <pageSetUpPr fitToPage="1"/>
  </sheetPr>
  <dimension ref="A1:J62"/>
  <sheetViews>
    <sheetView showGridLines="0" showRowColHeaders="0" workbookViewId="0"/>
  </sheetViews>
  <sheetFormatPr baseColWidth="10" defaultColWidth="11.3984375" defaultRowHeight="12.75" x14ac:dyDescent="0.35"/>
  <cols>
    <col min="1" max="1" width="7.59765625" style="8" customWidth="1"/>
    <col min="2" max="2" width="14.1328125" style="8" bestFit="1" customWidth="1"/>
    <col min="3" max="3" width="10.59765625" style="9" bestFit="1" customWidth="1"/>
    <col min="4" max="4" width="16.1328125" style="24" customWidth="1"/>
    <col min="5" max="5" width="13" style="8" bestFit="1" customWidth="1"/>
    <col min="6" max="6" width="15.265625" style="8" bestFit="1" customWidth="1"/>
    <col min="7" max="8" width="22.73046875" style="7" customWidth="1"/>
    <col min="9" max="9" width="47.73046875" style="7" customWidth="1"/>
    <col min="10" max="10" width="20.73046875" style="8" customWidth="1"/>
    <col min="11" max="16384" width="11.3984375" style="9"/>
  </cols>
  <sheetData>
    <row r="1" spans="1:10" s="29" customFormat="1" ht="91.9" customHeight="1" thickBot="1" x14ac:dyDescent="0.4">
      <c r="A1" s="28"/>
      <c r="B1" s="25" t="s">
        <v>164</v>
      </c>
      <c r="C1" s="26">
        <f>COUNTA(G3:G62)-COUNTIF(B3:B62,"NP")</f>
        <v>5</v>
      </c>
      <c r="D1" s="126"/>
      <c r="E1" s="126"/>
      <c r="F1" s="126"/>
      <c r="G1" s="126"/>
      <c r="H1" s="126"/>
      <c r="I1" s="27"/>
      <c r="J1" s="28"/>
    </row>
    <row r="2" spans="1:10" s="34" customFormat="1" ht="24.95" customHeight="1" x14ac:dyDescent="0.35">
      <c r="A2" s="73" t="s">
        <v>193</v>
      </c>
      <c r="B2" s="30" t="s">
        <v>143</v>
      </c>
      <c r="C2" s="31" t="s">
        <v>140</v>
      </c>
      <c r="D2" s="32" t="s">
        <v>141</v>
      </c>
      <c r="E2" s="31" t="s">
        <v>144</v>
      </c>
      <c r="F2" s="31" t="s">
        <v>145</v>
      </c>
      <c r="G2" s="66" t="s">
        <v>142</v>
      </c>
      <c r="H2" s="31" t="s">
        <v>192</v>
      </c>
      <c r="I2" s="31" t="s">
        <v>1</v>
      </c>
      <c r="J2" s="33" t="s">
        <v>153</v>
      </c>
    </row>
    <row r="3" spans="1:10" ht="24.95" customHeight="1" x14ac:dyDescent="0.35">
      <c r="A3" s="70"/>
      <c r="B3" s="55">
        <v>3</v>
      </c>
      <c r="C3" s="10">
        <v>21</v>
      </c>
      <c r="D3" s="18" t="s">
        <v>745</v>
      </c>
      <c r="E3" s="12"/>
      <c r="F3" s="13"/>
      <c r="G3" s="15" t="s">
        <v>744</v>
      </c>
      <c r="H3" s="14"/>
      <c r="I3" s="14" t="s">
        <v>577</v>
      </c>
      <c r="J3" s="51"/>
    </row>
    <row r="4" spans="1:10" ht="24.95" customHeight="1" x14ac:dyDescent="0.35">
      <c r="A4" s="69"/>
      <c r="B4" s="55">
        <v>2</v>
      </c>
      <c r="C4" s="10">
        <v>22</v>
      </c>
      <c r="D4" s="18" t="s">
        <v>644</v>
      </c>
      <c r="E4" s="12"/>
      <c r="F4" s="13"/>
      <c r="G4" s="15" t="s">
        <v>643</v>
      </c>
      <c r="H4" s="15"/>
      <c r="I4" s="15" t="s">
        <v>577</v>
      </c>
      <c r="J4" s="52"/>
    </row>
    <row r="5" spans="1:10" ht="24.95" customHeight="1" x14ac:dyDescent="0.35">
      <c r="A5" s="69"/>
      <c r="B5" s="55" t="s">
        <v>395</v>
      </c>
      <c r="C5" s="10">
        <v>23</v>
      </c>
      <c r="D5" s="18" t="s">
        <v>747</v>
      </c>
      <c r="E5" s="12"/>
      <c r="F5" s="13"/>
      <c r="G5" s="7" t="s">
        <v>746</v>
      </c>
      <c r="I5" s="7" t="s">
        <v>563</v>
      </c>
      <c r="J5" s="51"/>
    </row>
    <row r="6" spans="1:10" ht="24.95" customHeight="1" x14ac:dyDescent="0.35">
      <c r="A6" s="69"/>
      <c r="B6" s="55">
        <v>4</v>
      </c>
      <c r="C6" s="10">
        <v>24</v>
      </c>
      <c r="D6" s="18" t="s">
        <v>749</v>
      </c>
      <c r="E6" s="12"/>
      <c r="F6" s="13"/>
      <c r="G6" s="15" t="s">
        <v>748</v>
      </c>
      <c r="H6" s="14"/>
      <c r="I6" s="15" t="s">
        <v>563</v>
      </c>
      <c r="J6" s="52"/>
    </row>
    <row r="7" spans="1:10" ht="24.95" customHeight="1" x14ac:dyDescent="0.35">
      <c r="A7" s="69"/>
      <c r="B7" s="55">
        <v>1</v>
      </c>
      <c r="C7" s="10">
        <v>25</v>
      </c>
      <c r="D7" s="18" t="s">
        <v>646</v>
      </c>
      <c r="E7" s="13"/>
      <c r="F7" s="13"/>
      <c r="G7" s="15" t="s">
        <v>645</v>
      </c>
      <c r="H7" s="16"/>
      <c r="I7" s="16" t="s">
        <v>563</v>
      </c>
      <c r="J7" s="53"/>
    </row>
    <row r="8" spans="1:10" ht="24.95" customHeight="1" x14ac:dyDescent="0.35">
      <c r="A8" s="69"/>
      <c r="B8" s="55"/>
      <c r="C8" s="10"/>
      <c r="D8" s="18"/>
      <c r="E8" s="12"/>
      <c r="F8" s="13"/>
      <c r="G8" s="15"/>
      <c r="H8" s="15"/>
      <c r="I8" s="15"/>
      <c r="J8" s="53"/>
    </row>
    <row r="9" spans="1:10" ht="24.95" customHeight="1" x14ac:dyDescent="0.35">
      <c r="A9" s="69"/>
      <c r="B9" s="55"/>
      <c r="C9" s="10"/>
      <c r="D9" s="11"/>
      <c r="E9" s="12"/>
      <c r="F9" s="13"/>
      <c r="G9" s="16"/>
      <c r="H9" s="16"/>
      <c r="I9" s="16"/>
      <c r="J9" s="52"/>
    </row>
    <row r="10" spans="1:10" ht="24.95" customHeight="1" x14ac:dyDescent="0.35">
      <c r="A10" s="69"/>
      <c r="B10" s="55"/>
      <c r="C10" s="10"/>
      <c r="D10" s="11"/>
      <c r="E10" s="12"/>
      <c r="F10" s="13"/>
      <c r="G10" s="15"/>
      <c r="H10" s="15"/>
      <c r="I10" s="15"/>
      <c r="J10" s="52"/>
    </row>
    <row r="11" spans="1:10" ht="24.95" customHeight="1" x14ac:dyDescent="0.35">
      <c r="A11" s="69"/>
      <c r="B11" s="55"/>
      <c r="C11" s="10"/>
      <c r="D11" s="17"/>
      <c r="E11" s="12"/>
      <c r="F11" s="13"/>
      <c r="G11" s="15"/>
      <c r="H11" s="14"/>
      <c r="I11" s="14"/>
      <c r="J11" s="52"/>
    </row>
    <row r="12" spans="1:10" ht="24.95" customHeight="1" x14ac:dyDescent="0.35">
      <c r="A12" s="69"/>
      <c r="B12" s="55"/>
      <c r="C12" s="10"/>
      <c r="D12" s="11"/>
      <c r="E12" s="12"/>
      <c r="F12" s="13"/>
      <c r="G12" s="15"/>
      <c r="H12" s="15"/>
      <c r="I12" s="15"/>
      <c r="J12" s="53"/>
    </row>
    <row r="13" spans="1:10" ht="24.95" customHeight="1" x14ac:dyDescent="0.35">
      <c r="A13" s="69"/>
      <c r="B13" s="55"/>
      <c r="C13" s="10"/>
      <c r="D13" s="11"/>
      <c r="E13" s="12"/>
      <c r="F13" s="13"/>
      <c r="G13" s="15"/>
      <c r="H13" s="15"/>
      <c r="I13" s="15"/>
      <c r="J13" s="53"/>
    </row>
    <row r="14" spans="1:10" ht="24.95" customHeight="1" x14ac:dyDescent="0.35">
      <c r="A14" s="69"/>
      <c r="B14" s="55"/>
      <c r="C14" s="10"/>
      <c r="D14" s="11"/>
      <c r="E14" s="12"/>
      <c r="F14" s="13"/>
      <c r="G14" s="15"/>
      <c r="H14" s="15"/>
      <c r="I14" s="15"/>
      <c r="J14" s="53"/>
    </row>
    <row r="15" spans="1:10" ht="24.95" customHeight="1" x14ac:dyDescent="0.35">
      <c r="A15" s="69"/>
      <c r="B15" s="55"/>
      <c r="C15" s="10"/>
      <c r="D15" s="11"/>
      <c r="E15" s="12"/>
      <c r="F15" s="13"/>
      <c r="G15" s="15"/>
      <c r="H15" s="15"/>
      <c r="I15" s="15"/>
      <c r="J15" s="53"/>
    </row>
    <row r="16" spans="1:10" ht="24.95" customHeight="1" x14ac:dyDescent="0.35">
      <c r="A16" s="69"/>
      <c r="B16" s="55"/>
      <c r="C16" s="10"/>
      <c r="D16" s="11"/>
      <c r="E16" s="12"/>
      <c r="F16" s="13"/>
      <c r="G16" s="15"/>
      <c r="H16" s="15"/>
      <c r="I16" s="15"/>
      <c r="J16" s="53"/>
    </row>
    <row r="17" spans="1:10" ht="24.95" customHeight="1" x14ac:dyDescent="0.35">
      <c r="A17" s="69"/>
      <c r="B17" s="55"/>
      <c r="C17" s="10"/>
      <c r="D17" s="11"/>
      <c r="E17" s="12"/>
      <c r="F17" s="13"/>
      <c r="G17" s="15"/>
      <c r="H17" s="15"/>
      <c r="I17" s="15"/>
      <c r="J17" s="53"/>
    </row>
    <row r="18" spans="1:10" ht="24.95" customHeight="1" x14ac:dyDescent="0.35">
      <c r="A18" s="69"/>
      <c r="B18" s="55"/>
      <c r="C18" s="10"/>
      <c r="D18" s="11"/>
      <c r="E18" s="12"/>
      <c r="F18" s="13"/>
      <c r="G18" s="15"/>
      <c r="H18" s="15"/>
      <c r="I18" s="15"/>
      <c r="J18" s="53"/>
    </row>
    <row r="19" spans="1:10" ht="24.95" customHeight="1" x14ac:dyDescent="0.35">
      <c r="A19" s="69"/>
      <c r="B19" s="55"/>
      <c r="C19" s="10"/>
      <c r="D19" s="11"/>
      <c r="E19" s="12"/>
      <c r="F19" s="13"/>
      <c r="G19" s="15"/>
      <c r="H19" s="15"/>
      <c r="I19" s="15"/>
      <c r="J19" s="53"/>
    </row>
    <row r="20" spans="1:10" ht="24.95" customHeight="1" x14ac:dyDescent="0.35">
      <c r="A20" s="69"/>
      <c r="B20" s="55"/>
      <c r="C20" s="10"/>
      <c r="D20" s="11"/>
      <c r="E20" s="12"/>
      <c r="F20" s="13"/>
      <c r="G20" s="15"/>
      <c r="H20" s="15"/>
      <c r="I20" s="15"/>
      <c r="J20" s="53"/>
    </row>
    <row r="21" spans="1:10" ht="24.95" customHeight="1" x14ac:dyDescent="0.35">
      <c r="A21" s="67"/>
      <c r="B21" s="55"/>
      <c r="C21" s="10"/>
      <c r="D21" s="18"/>
      <c r="E21" s="12"/>
      <c r="F21" s="13"/>
      <c r="G21" s="15"/>
      <c r="H21" s="15"/>
      <c r="I21" s="15"/>
      <c r="J21" s="53"/>
    </row>
    <row r="22" spans="1:10" ht="24.95" customHeight="1" x14ac:dyDescent="0.35">
      <c r="A22" s="67"/>
      <c r="B22" s="55"/>
      <c r="C22" s="10"/>
      <c r="D22" s="18"/>
      <c r="E22" s="12"/>
      <c r="F22" s="13"/>
      <c r="G22" s="15"/>
      <c r="H22" s="15"/>
      <c r="I22" s="15"/>
      <c r="J22" s="53"/>
    </row>
    <row r="23" spans="1:10" ht="24.95" customHeight="1" x14ac:dyDescent="0.35">
      <c r="A23" s="67"/>
      <c r="B23" s="55"/>
      <c r="C23" s="10"/>
      <c r="D23" s="18"/>
      <c r="E23" s="12"/>
      <c r="F23" s="13"/>
      <c r="G23" s="15"/>
      <c r="H23" s="15"/>
      <c r="I23" s="15"/>
      <c r="J23" s="53"/>
    </row>
    <row r="24" spans="1:10" ht="24.95" customHeight="1" x14ac:dyDescent="0.35">
      <c r="A24" s="67"/>
      <c r="B24" s="55"/>
      <c r="C24" s="10"/>
      <c r="D24" s="18"/>
      <c r="E24" s="12"/>
      <c r="F24" s="13"/>
      <c r="G24" s="15"/>
      <c r="H24" s="15"/>
      <c r="I24" s="15"/>
      <c r="J24" s="53"/>
    </row>
    <row r="25" spans="1:10" ht="24.95" customHeight="1" x14ac:dyDescent="0.35">
      <c r="A25" s="67"/>
      <c r="B25" s="55"/>
      <c r="C25" s="10"/>
      <c r="D25" s="18"/>
      <c r="E25" s="12"/>
      <c r="F25" s="13"/>
      <c r="G25" s="15"/>
      <c r="H25" s="15"/>
      <c r="I25" s="15"/>
      <c r="J25" s="53"/>
    </row>
    <row r="26" spans="1:10" ht="24.95" customHeight="1" x14ac:dyDescent="0.35">
      <c r="A26" s="67"/>
      <c r="B26" s="55"/>
      <c r="C26" s="10"/>
      <c r="D26" s="18"/>
      <c r="E26" s="12"/>
      <c r="F26" s="13"/>
      <c r="G26" s="15"/>
      <c r="H26" s="15"/>
      <c r="I26" s="15"/>
      <c r="J26" s="53"/>
    </row>
    <row r="27" spans="1:10" ht="24.95" customHeight="1" x14ac:dyDescent="0.35">
      <c r="A27" s="67"/>
      <c r="B27" s="55"/>
      <c r="C27" s="10"/>
      <c r="D27" s="18"/>
      <c r="E27" s="12"/>
      <c r="F27" s="13"/>
      <c r="G27" s="15"/>
      <c r="H27" s="15"/>
      <c r="I27" s="15"/>
      <c r="J27" s="53"/>
    </row>
    <row r="28" spans="1:10" ht="24.95" customHeight="1" x14ac:dyDescent="0.35">
      <c r="A28" s="67"/>
      <c r="B28" s="55"/>
      <c r="C28" s="10"/>
      <c r="D28" s="18"/>
      <c r="E28" s="12"/>
      <c r="F28" s="13"/>
      <c r="G28" s="15"/>
      <c r="H28" s="15"/>
      <c r="I28" s="15"/>
      <c r="J28" s="53"/>
    </row>
    <row r="29" spans="1:10" ht="24.95" customHeight="1" x14ac:dyDescent="0.35">
      <c r="A29" s="67"/>
      <c r="B29" s="55"/>
      <c r="C29" s="10"/>
      <c r="D29" s="18"/>
      <c r="E29" s="12"/>
      <c r="F29" s="13"/>
      <c r="G29" s="15"/>
      <c r="H29" s="15"/>
      <c r="I29" s="15"/>
      <c r="J29" s="53"/>
    </row>
    <row r="30" spans="1:10" ht="24.95" customHeight="1" x14ac:dyDescent="0.35">
      <c r="A30" s="67"/>
      <c r="B30" s="55"/>
      <c r="C30" s="10"/>
      <c r="D30" s="18"/>
      <c r="E30" s="12"/>
      <c r="F30" s="13"/>
      <c r="G30" s="15"/>
      <c r="H30" s="15"/>
      <c r="I30" s="15"/>
      <c r="J30" s="53"/>
    </row>
    <row r="31" spans="1:10" ht="24.95" customHeight="1" x14ac:dyDescent="0.35">
      <c r="A31" s="67"/>
      <c r="B31" s="55"/>
      <c r="C31" s="10"/>
      <c r="D31" s="18"/>
      <c r="E31" s="12"/>
      <c r="F31" s="13"/>
      <c r="G31" s="15"/>
      <c r="H31" s="15"/>
      <c r="I31" s="15"/>
      <c r="J31" s="53"/>
    </row>
    <row r="32" spans="1:10" ht="24.95" customHeight="1" x14ac:dyDescent="0.35">
      <c r="A32" s="67"/>
      <c r="B32" s="55"/>
      <c r="C32" s="10"/>
      <c r="D32" s="18"/>
      <c r="E32" s="12"/>
      <c r="F32" s="13"/>
      <c r="G32" s="15"/>
      <c r="H32" s="15"/>
      <c r="I32" s="15"/>
      <c r="J32" s="53"/>
    </row>
    <row r="33" spans="1:10" ht="24.95" customHeight="1" x14ac:dyDescent="0.35">
      <c r="A33" s="67"/>
      <c r="B33" s="55"/>
      <c r="C33" s="10"/>
      <c r="D33" s="18"/>
      <c r="E33" s="12"/>
      <c r="F33" s="13"/>
      <c r="G33" s="15"/>
      <c r="H33" s="15"/>
      <c r="I33" s="15"/>
      <c r="J33" s="53"/>
    </row>
    <row r="34" spans="1:10" ht="24.95" customHeight="1" x14ac:dyDescent="0.35">
      <c r="A34" s="67"/>
      <c r="B34" s="55"/>
      <c r="C34" s="10"/>
      <c r="D34" s="18"/>
      <c r="E34" s="12"/>
      <c r="F34" s="13"/>
      <c r="G34" s="15"/>
      <c r="H34" s="15"/>
      <c r="I34" s="15"/>
      <c r="J34" s="53"/>
    </row>
    <row r="35" spans="1:10" ht="24.95" customHeight="1" x14ac:dyDescent="0.35">
      <c r="A35" s="67"/>
      <c r="B35" s="55"/>
      <c r="C35" s="10"/>
      <c r="D35" s="18"/>
      <c r="E35" s="12"/>
      <c r="F35" s="13"/>
      <c r="G35" s="15"/>
      <c r="H35" s="15"/>
      <c r="I35" s="15"/>
      <c r="J35" s="53"/>
    </row>
    <row r="36" spans="1:10" ht="24.95" customHeight="1" x14ac:dyDescent="0.35">
      <c r="A36" s="67"/>
      <c r="B36" s="55"/>
      <c r="C36" s="10"/>
      <c r="D36" s="18"/>
      <c r="E36" s="12"/>
      <c r="F36" s="13"/>
      <c r="G36" s="15"/>
      <c r="H36" s="15"/>
      <c r="I36" s="15"/>
      <c r="J36" s="53"/>
    </row>
    <row r="37" spans="1:10" ht="24.95" customHeight="1" x14ac:dyDescent="0.35">
      <c r="A37" s="67"/>
      <c r="B37" s="55"/>
      <c r="C37" s="10"/>
      <c r="D37" s="18"/>
      <c r="E37" s="12"/>
      <c r="F37" s="13"/>
      <c r="G37" s="15"/>
      <c r="H37" s="15"/>
      <c r="I37" s="15"/>
      <c r="J37" s="53"/>
    </row>
    <row r="38" spans="1:10" ht="24.95" customHeight="1" x14ac:dyDescent="0.35">
      <c r="A38" s="67"/>
      <c r="B38" s="55"/>
      <c r="C38" s="10"/>
      <c r="D38" s="18"/>
      <c r="E38" s="12"/>
      <c r="F38" s="13"/>
      <c r="G38" s="15"/>
      <c r="H38" s="15"/>
      <c r="I38" s="15"/>
      <c r="J38" s="53"/>
    </row>
    <row r="39" spans="1:10" ht="24.95" customHeight="1" x14ac:dyDescent="0.35">
      <c r="A39" s="67"/>
      <c r="B39" s="55"/>
      <c r="C39" s="10"/>
      <c r="D39" s="18"/>
      <c r="E39" s="12"/>
      <c r="F39" s="13"/>
      <c r="G39" s="15"/>
      <c r="H39" s="15"/>
      <c r="I39" s="15"/>
      <c r="J39" s="53"/>
    </row>
    <row r="40" spans="1:10" ht="24.95" customHeight="1" x14ac:dyDescent="0.35">
      <c r="A40" s="67"/>
      <c r="B40" s="55"/>
      <c r="C40" s="10"/>
      <c r="D40" s="18"/>
      <c r="E40" s="12"/>
      <c r="F40" s="13"/>
      <c r="G40" s="15"/>
      <c r="H40" s="15"/>
      <c r="I40" s="15"/>
      <c r="J40" s="53"/>
    </row>
    <row r="41" spans="1:10" ht="24.95" customHeight="1" x14ac:dyDescent="0.35">
      <c r="A41" s="67"/>
      <c r="B41" s="55"/>
      <c r="C41" s="10"/>
      <c r="D41" s="18"/>
      <c r="E41" s="12"/>
      <c r="F41" s="13"/>
      <c r="G41" s="15"/>
      <c r="H41" s="15"/>
      <c r="I41" s="15"/>
      <c r="J41" s="53"/>
    </row>
    <row r="42" spans="1:10" ht="24.95" customHeight="1" x14ac:dyDescent="0.35">
      <c r="A42" s="67"/>
      <c r="B42" s="55"/>
      <c r="C42" s="10"/>
      <c r="D42" s="18"/>
      <c r="E42" s="12"/>
      <c r="F42" s="13"/>
      <c r="G42" s="15"/>
      <c r="H42" s="15"/>
      <c r="I42" s="15"/>
      <c r="J42" s="53"/>
    </row>
    <row r="43" spans="1:10" ht="24.95" customHeight="1" x14ac:dyDescent="0.35">
      <c r="A43" s="67"/>
      <c r="B43" s="55"/>
      <c r="C43" s="10"/>
      <c r="D43" s="18"/>
      <c r="E43" s="12"/>
      <c r="F43" s="13"/>
      <c r="G43" s="15"/>
      <c r="H43" s="15"/>
      <c r="I43" s="15"/>
      <c r="J43" s="53"/>
    </row>
    <row r="44" spans="1:10" ht="24.95" customHeight="1" x14ac:dyDescent="0.35">
      <c r="A44" s="67"/>
      <c r="B44" s="55"/>
      <c r="C44" s="10"/>
      <c r="D44" s="18"/>
      <c r="E44" s="12"/>
      <c r="F44" s="13"/>
      <c r="G44" s="15"/>
      <c r="H44" s="15"/>
      <c r="I44" s="15"/>
      <c r="J44" s="53"/>
    </row>
    <row r="45" spans="1:10" ht="24.95" customHeight="1" x14ac:dyDescent="0.35">
      <c r="A45" s="67"/>
      <c r="B45" s="55"/>
      <c r="C45" s="10"/>
      <c r="D45" s="18"/>
      <c r="E45" s="12"/>
      <c r="F45" s="13"/>
      <c r="G45" s="15"/>
      <c r="H45" s="15"/>
      <c r="I45" s="15"/>
      <c r="J45" s="53"/>
    </row>
    <row r="46" spans="1:10" ht="24.95" customHeight="1" x14ac:dyDescent="0.35">
      <c r="A46" s="67"/>
      <c r="B46" s="55"/>
      <c r="C46" s="10"/>
      <c r="D46" s="18"/>
      <c r="E46" s="12"/>
      <c r="F46" s="13"/>
      <c r="G46" s="15"/>
      <c r="H46" s="15"/>
      <c r="I46" s="15"/>
      <c r="J46" s="53"/>
    </row>
    <row r="47" spans="1:10" ht="24.95" customHeight="1" x14ac:dyDescent="0.35">
      <c r="A47" s="67"/>
      <c r="B47" s="55"/>
      <c r="C47" s="10"/>
      <c r="D47" s="18"/>
      <c r="E47" s="12"/>
      <c r="F47" s="13"/>
      <c r="G47" s="15"/>
      <c r="H47" s="15"/>
      <c r="I47" s="15"/>
      <c r="J47" s="53"/>
    </row>
    <row r="48" spans="1:10" ht="24.95" customHeight="1" x14ac:dyDescent="0.35">
      <c r="A48" s="67"/>
      <c r="B48" s="55"/>
      <c r="C48" s="10"/>
      <c r="D48" s="18"/>
      <c r="E48" s="12"/>
      <c r="F48" s="13"/>
      <c r="G48" s="15"/>
      <c r="H48" s="15"/>
      <c r="I48" s="15"/>
      <c r="J48" s="53"/>
    </row>
    <row r="49" spans="1:10" ht="24.95" customHeight="1" x14ac:dyDescent="0.35">
      <c r="A49" s="67"/>
      <c r="B49" s="55"/>
      <c r="C49" s="10"/>
      <c r="D49" s="18"/>
      <c r="E49" s="12"/>
      <c r="F49" s="13"/>
      <c r="G49" s="15"/>
      <c r="H49" s="15"/>
      <c r="I49" s="15"/>
      <c r="J49" s="53"/>
    </row>
    <row r="50" spans="1:10" ht="24.95" customHeight="1" x14ac:dyDescent="0.35">
      <c r="A50" s="67"/>
      <c r="B50" s="55"/>
      <c r="C50" s="10"/>
      <c r="D50" s="18"/>
      <c r="E50" s="12"/>
      <c r="F50" s="13"/>
      <c r="G50" s="15"/>
      <c r="H50" s="15"/>
      <c r="I50" s="15"/>
      <c r="J50" s="53"/>
    </row>
    <row r="51" spans="1:10" ht="24.95" customHeight="1" x14ac:dyDescent="0.35">
      <c r="A51" s="67"/>
      <c r="B51" s="55"/>
      <c r="C51" s="10"/>
      <c r="D51" s="18"/>
      <c r="E51" s="12"/>
      <c r="F51" s="13"/>
      <c r="G51" s="15"/>
      <c r="H51" s="15"/>
      <c r="I51" s="15"/>
      <c r="J51" s="53"/>
    </row>
    <row r="52" spans="1:10" ht="24.95" customHeight="1" x14ac:dyDescent="0.35">
      <c r="A52" s="67"/>
      <c r="B52" s="55"/>
      <c r="C52" s="10"/>
      <c r="D52" s="18"/>
      <c r="E52" s="12"/>
      <c r="F52" s="13"/>
      <c r="G52" s="15"/>
      <c r="H52" s="15"/>
      <c r="I52" s="15"/>
      <c r="J52" s="53"/>
    </row>
    <row r="53" spans="1:10" ht="24.95" customHeight="1" x14ac:dyDescent="0.35">
      <c r="A53" s="67"/>
      <c r="B53" s="55"/>
      <c r="C53" s="10"/>
      <c r="D53" s="18"/>
      <c r="E53" s="12"/>
      <c r="F53" s="13"/>
      <c r="G53" s="15"/>
      <c r="H53" s="15"/>
      <c r="I53" s="15"/>
      <c r="J53" s="53"/>
    </row>
    <row r="54" spans="1:10" ht="24.95" customHeight="1" x14ac:dyDescent="0.35">
      <c r="A54" s="67"/>
      <c r="B54" s="55"/>
      <c r="C54" s="10"/>
      <c r="D54" s="18"/>
      <c r="E54" s="12"/>
      <c r="F54" s="13"/>
      <c r="G54" s="15"/>
      <c r="H54" s="15"/>
      <c r="I54" s="15"/>
      <c r="J54" s="53"/>
    </row>
    <row r="55" spans="1:10" ht="24.95" customHeight="1" x14ac:dyDescent="0.35">
      <c r="A55" s="67"/>
      <c r="B55" s="55"/>
      <c r="C55" s="10"/>
      <c r="D55" s="18"/>
      <c r="E55" s="12"/>
      <c r="F55" s="13"/>
      <c r="G55" s="15"/>
      <c r="H55" s="15"/>
      <c r="I55" s="15"/>
      <c r="J55" s="53"/>
    </row>
    <row r="56" spans="1:10" ht="24.95" customHeight="1" x14ac:dyDescent="0.35">
      <c r="A56" s="67"/>
      <c r="B56" s="55"/>
      <c r="C56" s="10"/>
      <c r="D56" s="18"/>
      <c r="E56" s="12"/>
      <c r="F56" s="13"/>
      <c r="G56" s="15"/>
      <c r="H56" s="15"/>
      <c r="I56" s="15"/>
      <c r="J56" s="53"/>
    </row>
    <row r="57" spans="1:10" ht="24.95" customHeight="1" x14ac:dyDescent="0.35">
      <c r="A57" s="67"/>
      <c r="B57" s="55"/>
      <c r="C57" s="10"/>
      <c r="D57" s="11"/>
      <c r="E57" s="12"/>
      <c r="F57" s="13"/>
      <c r="G57" s="15"/>
      <c r="H57" s="15"/>
      <c r="I57" s="15"/>
      <c r="J57" s="53"/>
    </row>
    <row r="58" spans="1:10" ht="24.95" customHeight="1" x14ac:dyDescent="0.35">
      <c r="A58" s="67"/>
      <c r="B58" s="55"/>
      <c r="C58" s="10"/>
      <c r="D58" s="18"/>
      <c r="E58" s="12"/>
      <c r="F58" s="13"/>
      <c r="G58" s="15"/>
      <c r="H58" s="15"/>
      <c r="I58" s="15"/>
      <c r="J58" s="53"/>
    </row>
    <row r="59" spans="1:10" ht="24.95" customHeight="1" x14ac:dyDescent="0.35">
      <c r="A59" s="67"/>
      <c r="B59" s="55"/>
      <c r="C59" s="10"/>
      <c r="D59" s="18"/>
      <c r="E59" s="12"/>
      <c r="F59" s="13"/>
      <c r="G59" s="15"/>
      <c r="H59" s="15"/>
      <c r="I59" s="15"/>
      <c r="J59" s="53"/>
    </row>
    <row r="60" spans="1:10" ht="24.95" customHeight="1" x14ac:dyDescent="0.35">
      <c r="A60" s="67"/>
      <c r="B60" s="55"/>
      <c r="C60" s="10"/>
      <c r="D60" s="18"/>
      <c r="E60" s="12"/>
      <c r="F60" s="13"/>
      <c r="G60" s="15"/>
      <c r="H60" s="15"/>
      <c r="I60" s="15"/>
      <c r="J60" s="53"/>
    </row>
    <row r="61" spans="1:10" ht="24.95" customHeight="1" x14ac:dyDescent="0.35">
      <c r="A61" s="67"/>
      <c r="B61" s="55"/>
      <c r="C61" s="10"/>
      <c r="D61" s="18"/>
      <c r="E61" s="12"/>
      <c r="F61" s="13"/>
      <c r="G61" s="15"/>
      <c r="H61" s="15"/>
      <c r="I61" s="15"/>
      <c r="J61" s="53"/>
    </row>
    <row r="62" spans="1:10" ht="24.95" customHeight="1" thickBot="1" x14ac:dyDescent="0.4">
      <c r="A62" s="68"/>
      <c r="B62" s="72"/>
      <c r="C62" s="19"/>
      <c r="D62" s="20"/>
      <c r="E62" s="21"/>
      <c r="F62" s="22"/>
      <c r="G62" s="23"/>
      <c r="H62" s="23"/>
      <c r="I62" s="23"/>
      <c r="J62" s="54"/>
    </row>
  </sheetData>
  <sheetProtection sheet="1" objects="1" scenarios="1"/>
  <mergeCells count="1">
    <mergeCell ref="D1:H1"/>
  </mergeCells>
  <conditionalFormatting sqref="C3:C62">
    <cfRule type="expression" dxfId="4" priority="1">
      <formula>$A3&lt;&gt;""</formula>
    </cfRule>
  </conditionalFormatting>
  <dataValidations count="2">
    <dataValidation type="list" allowBlank="1" showInputMessage="1" showErrorMessage="1" sqref="E3:E62" xr:uid="{00000000-0002-0000-0600-000000000000}">
      <formula1>Fédérations</formula1>
    </dataValidation>
    <dataValidation type="list" allowBlank="1" showInputMessage="1" showErrorMessage="1" sqref="B3:B62" xr:uid="{00000000-0002-0000-0600-000001000000}">
      <formula1>Rang</formula1>
    </dataValidation>
  </dataValidations>
  <pageMargins left="0.7" right="0.7" top="0.75" bottom="0.75" header="0.3" footer="0.3"/>
  <pageSetup paperSize="9" scale="70" fitToHeight="0" orientation="landscape" r:id="rId1"/>
  <headerFooter>
    <oddHeader>&amp;C&amp;"Arial Black"&amp;20Grand prix Oyeu-Burcin 2026</oddHeader>
    <oddFooter>&amp;C&amp;"Arial"&amp;G&amp;12AB =&gt; abandon        NC =&gt; non classé, arrivée en peloton        NP =&gt; non partant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7">
    <tabColor theme="5" tint="0.39997558519241921"/>
    <pageSetUpPr fitToPage="1"/>
  </sheetPr>
  <dimension ref="A1:J62"/>
  <sheetViews>
    <sheetView showGridLines="0" showRowColHeaders="0" workbookViewId="0"/>
  </sheetViews>
  <sheetFormatPr baseColWidth="10" defaultColWidth="11.3984375" defaultRowHeight="12.75" x14ac:dyDescent="0.35"/>
  <cols>
    <col min="1" max="1" width="7.59765625" style="8" customWidth="1"/>
    <col min="2" max="2" width="14.1328125" style="8" bestFit="1" customWidth="1"/>
    <col min="3" max="3" width="10.59765625" style="9" bestFit="1" customWidth="1"/>
    <col min="4" max="4" width="16.1328125" style="24" customWidth="1"/>
    <col min="5" max="5" width="13" style="8" bestFit="1" customWidth="1"/>
    <col min="6" max="6" width="15.265625" style="8" bestFit="1" customWidth="1"/>
    <col min="7" max="8" width="22.73046875" style="7" customWidth="1"/>
    <col min="9" max="9" width="47.73046875" style="7" customWidth="1"/>
    <col min="10" max="10" width="20.73046875" style="8" customWidth="1"/>
    <col min="11" max="16384" width="11.3984375" style="9"/>
  </cols>
  <sheetData>
    <row r="1" spans="1:10" s="29" customFormat="1" ht="91.9" customHeight="1" thickBot="1" x14ac:dyDescent="0.4">
      <c r="A1" s="28"/>
      <c r="B1" s="25" t="s">
        <v>164</v>
      </c>
      <c r="C1" s="26">
        <f>COUNTA(G3:G62)-COUNTIF(B3:B62,"NP")</f>
        <v>6</v>
      </c>
      <c r="D1" s="126"/>
      <c r="E1" s="126"/>
      <c r="F1" s="126"/>
      <c r="G1" s="126"/>
      <c r="H1" s="126"/>
      <c r="I1" s="27"/>
      <c r="J1" s="28"/>
    </row>
    <row r="2" spans="1:10" s="34" customFormat="1" ht="24.95" customHeight="1" x14ac:dyDescent="0.35">
      <c r="A2" s="73" t="s">
        <v>193</v>
      </c>
      <c r="B2" s="30" t="s">
        <v>143</v>
      </c>
      <c r="C2" s="31" t="s">
        <v>140</v>
      </c>
      <c r="D2" s="32" t="s">
        <v>141</v>
      </c>
      <c r="E2" s="31" t="s">
        <v>144</v>
      </c>
      <c r="F2" s="31" t="s">
        <v>145</v>
      </c>
      <c r="G2" s="66" t="s">
        <v>142</v>
      </c>
      <c r="H2" s="31" t="s">
        <v>192</v>
      </c>
      <c r="I2" s="31" t="s">
        <v>1</v>
      </c>
      <c r="J2" s="33" t="s">
        <v>153</v>
      </c>
    </row>
    <row r="3" spans="1:10" ht="24.95" customHeight="1" x14ac:dyDescent="0.35">
      <c r="A3" s="70"/>
      <c r="B3" s="55">
        <v>2</v>
      </c>
      <c r="C3" s="10">
        <v>91</v>
      </c>
      <c r="D3" s="18" t="s">
        <v>651</v>
      </c>
      <c r="E3" s="12"/>
      <c r="F3" s="13"/>
      <c r="G3" s="15" t="s">
        <v>650</v>
      </c>
      <c r="H3" s="14"/>
      <c r="I3" s="14" t="s">
        <v>563</v>
      </c>
      <c r="J3" s="51"/>
    </row>
    <row r="4" spans="1:10" ht="24.95" customHeight="1" x14ac:dyDescent="0.35">
      <c r="A4" s="69"/>
      <c r="B4" s="55">
        <v>5</v>
      </c>
      <c r="C4" s="10">
        <v>92</v>
      </c>
      <c r="D4" s="11"/>
      <c r="E4" s="12"/>
      <c r="F4" s="13"/>
      <c r="G4" s="15" t="s">
        <v>652</v>
      </c>
      <c r="H4" s="15"/>
      <c r="I4" s="15" t="s">
        <v>562</v>
      </c>
      <c r="J4" s="52"/>
    </row>
    <row r="5" spans="1:10" ht="24.95" customHeight="1" x14ac:dyDescent="0.35">
      <c r="A5" s="69"/>
      <c r="B5" s="55">
        <v>1</v>
      </c>
      <c r="C5" s="10">
        <v>93</v>
      </c>
      <c r="D5" s="11" t="s">
        <v>560</v>
      </c>
      <c r="E5" s="12"/>
      <c r="F5" s="13"/>
      <c r="G5" s="15" t="s">
        <v>558</v>
      </c>
      <c r="H5" s="14"/>
      <c r="I5" s="15" t="s">
        <v>559</v>
      </c>
      <c r="J5" s="51"/>
    </row>
    <row r="6" spans="1:10" ht="24.95" customHeight="1" x14ac:dyDescent="0.35">
      <c r="A6" s="69"/>
      <c r="B6" s="55" t="s">
        <v>395</v>
      </c>
      <c r="C6" s="10">
        <v>94</v>
      </c>
      <c r="D6" s="11"/>
      <c r="E6" s="12"/>
      <c r="F6" s="13"/>
      <c r="G6" s="15" t="s">
        <v>561</v>
      </c>
      <c r="H6" s="16"/>
      <c r="I6" s="16" t="s">
        <v>562</v>
      </c>
      <c r="J6" s="52"/>
    </row>
    <row r="7" spans="1:10" ht="24.95" customHeight="1" x14ac:dyDescent="0.35">
      <c r="A7" s="69"/>
      <c r="B7" s="55">
        <v>3</v>
      </c>
      <c r="C7" s="10">
        <v>95</v>
      </c>
      <c r="D7" s="11" t="s">
        <v>654</v>
      </c>
      <c r="E7" s="12"/>
      <c r="F7" s="13"/>
      <c r="G7" s="15" t="s">
        <v>653</v>
      </c>
      <c r="H7" s="15"/>
      <c r="I7" s="15" t="s">
        <v>563</v>
      </c>
      <c r="J7" s="53"/>
    </row>
    <row r="8" spans="1:10" ht="24.95" customHeight="1" x14ac:dyDescent="0.35">
      <c r="A8" s="69"/>
      <c r="B8" s="55">
        <v>4</v>
      </c>
      <c r="C8" s="10">
        <v>96</v>
      </c>
      <c r="D8" s="11" t="s">
        <v>656</v>
      </c>
      <c r="E8" s="12"/>
      <c r="F8" s="13"/>
      <c r="G8" s="15" t="s">
        <v>655</v>
      </c>
      <c r="H8" s="15"/>
      <c r="I8" s="15" t="s">
        <v>563</v>
      </c>
      <c r="J8" s="53"/>
    </row>
    <row r="9" spans="1:10" ht="24.95" customHeight="1" x14ac:dyDescent="0.35">
      <c r="A9" s="69"/>
      <c r="B9" s="55"/>
      <c r="C9" s="10"/>
      <c r="D9" s="11"/>
      <c r="E9" s="12"/>
      <c r="F9" s="13"/>
      <c r="G9" s="16"/>
      <c r="H9" s="16"/>
      <c r="I9" s="16"/>
      <c r="J9" s="52"/>
    </row>
    <row r="10" spans="1:10" ht="24.95" customHeight="1" x14ac:dyDescent="0.35">
      <c r="A10" s="69"/>
      <c r="B10" s="55"/>
      <c r="C10" s="10"/>
      <c r="D10" s="11"/>
      <c r="E10" s="12"/>
      <c r="F10" s="13"/>
      <c r="G10" s="15"/>
      <c r="H10" s="15"/>
      <c r="I10" s="15"/>
      <c r="J10" s="52"/>
    </row>
    <row r="11" spans="1:10" ht="24.95" customHeight="1" x14ac:dyDescent="0.35">
      <c r="A11" s="69"/>
      <c r="B11" s="55"/>
      <c r="C11" s="10"/>
      <c r="D11" s="17"/>
      <c r="E11" s="12"/>
      <c r="F11" s="13"/>
      <c r="G11" s="15"/>
      <c r="H11" s="14"/>
      <c r="I11" s="14"/>
      <c r="J11" s="51"/>
    </row>
    <row r="12" spans="1:10" ht="24.95" customHeight="1" x14ac:dyDescent="0.35">
      <c r="A12" s="69"/>
      <c r="B12" s="55"/>
      <c r="C12" s="10"/>
      <c r="D12" s="11"/>
      <c r="E12" s="12"/>
      <c r="F12" s="13"/>
      <c r="G12" s="15"/>
      <c r="H12" s="15"/>
      <c r="I12" s="15"/>
      <c r="J12" s="53"/>
    </row>
    <row r="13" spans="1:10" ht="24.95" customHeight="1" x14ac:dyDescent="0.35">
      <c r="A13" s="69"/>
      <c r="B13" s="55"/>
      <c r="C13" s="10"/>
      <c r="D13" s="11"/>
      <c r="E13" s="12"/>
      <c r="F13" s="13"/>
      <c r="G13" s="15"/>
      <c r="H13" s="15"/>
      <c r="I13" s="15"/>
      <c r="J13" s="53"/>
    </row>
    <row r="14" spans="1:10" ht="24.95" customHeight="1" x14ac:dyDescent="0.35">
      <c r="A14" s="69"/>
      <c r="B14" s="55"/>
      <c r="C14" s="10"/>
      <c r="D14" s="11"/>
      <c r="E14" s="12"/>
      <c r="F14" s="13"/>
      <c r="G14" s="15"/>
      <c r="H14" s="15"/>
      <c r="I14" s="15"/>
      <c r="J14" s="53"/>
    </row>
    <row r="15" spans="1:10" ht="24.95" customHeight="1" x14ac:dyDescent="0.35">
      <c r="A15" s="69"/>
      <c r="B15" s="55"/>
      <c r="C15" s="10"/>
      <c r="D15" s="11"/>
      <c r="E15" s="12"/>
      <c r="F15" s="13"/>
      <c r="G15" s="15"/>
      <c r="H15" s="15"/>
      <c r="I15" s="15"/>
      <c r="J15" s="53"/>
    </row>
    <row r="16" spans="1:10" ht="24.95" customHeight="1" x14ac:dyDescent="0.35">
      <c r="A16" s="69"/>
      <c r="B16" s="55"/>
      <c r="C16" s="10"/>
      <c r="D16" s="11"/>
      <c r="E16" s="12"/>
      <c r="F16" s="13"/>
      <c r="G16" s="15"/>
      <c r="H16" s="15"/>
      <c r="I16" s="15"/>
      <c r="J16" s="53"/>
    </row>
    <row r="17" spans="1:10" ht="24.95" customHeight="1" x14ac:dyDescent="0.35">
      <c r="A17" s="69"/>
      <c r="B17" s="55"/>
      <c r="C17" s="10"/>
      <c r="D17" s="11"/>
      <c r="E17" s="12"/>
      <c r="F17" s="13"/>
      <c r="G17" s="15"/>
      <c r="H17" s="15"/>
      <c r="I17" s="15"/>
      <c r="J17" s="53"/>
    </row>
    <row r="18" spans="1:10" ht="24.95" customHeight="1" x14ac:dyDescent="0.35">
      <c r="A18" s="69"/>
      <c r="B18" s="55"/>
      <c r="C18" s="10"/>
      <c r="D18" s="11"/>
      <c r="E18" s="12"/>
      <c r="F18" s="13"/>
      <c r="G18" s="15"/>
      <c r="H18" s="15"/>
      <c r="I18" s="15"/>
      <c r="J18" s="53"/>
    </row>
    <row r="19" spans="1:10" ht="24.95" customHeight="1" x14ac:dyDescent="0.35">
      <c r="A19" s="69"/>
      <c r="B19" s="55"/>
      <c r="C19" s="10"/>
      <c r="D19" s="11"/>
      <c r="E19" s="12"/>
      <c r="F19" s="13"/>
      <c r="G19" s="15"/>
      <c r="H19" s="15"/>
      <c r="I19" s="15"/>
      <c r="J19" s="53"/>
    </row>
    <row r="20" spans="1:10" ht="24.95" customHeight="1" x14ac:dyDescent="0.35">
      <c r="A20" s="69"/>
      <c r="B20" s="55"/>
      <c r="C20" s="10"/>
      <c r="D20" s="11"/>
      <c r="E20" s="12"/>
      <c r="F20" s="13"/>
      <c r="G20" s="15"/>
      <c r="H20" s="15"/>
      <c r="I20" s="15"/>
      <c r="J20" s="53"/>
    </row>
    <row r="21" spans="1:10" ht="24.95" customHeight="1" x14ac:dyDescent="0.35">
      <c r="A21" s="67"/>
      <c r="B21" s="55"/>
      <c r="C21" s="10"/>
      <c r="D21" s="18"/>
      <c r="E21" s="12"/>
      <c r="F21" s="13"/>
      <c r="G21" s="15"/>
      <c r="H21" s="15"/>
      <c r="I21" s="15"/>
      <c r="J21" s="53"/>
    </row>
    <row r="22" spans="1:10" ht="24.95" customHeight="1" x14ac:dyDescent="0.35">
      <c r="A22" s="67"/>
      <c r="B22" s="55"/>
      <c r="C22" s="10"/>
      <c r="D22" s="18"/>
      <c r="E22" s="12"/>
      <c r="F22" s="13"/>
      <c r="G22" s="15"/>
      <c r="H22" s="15"/>
      <c r="I22" s="15"/>
      <c r="J22" s="53"/>
    </row>
    <row r="23" spans="1:10" ht="24.95" customHeight="1" x14ac:dyDescent="0.35">
      <c r="A23" s="67"/>
      <c r="B23" s="55"/>
      <c r="C23" s="10"/>
      <c r="D23" s="18"/>
      <c r="E23" s="12"/>
      <c r="F23" s="13"/>
      <c r="G23" s="15"/>
      <c r="H23" s="15"/>
      <c r="I23" s="15"/>
      <c r="J23" s="53"/>
    </row>
    <row r="24" spans="1:10" ht="24.95" customHeight="1" x14ac:dyDescent="0.35">
      <c r="A24" s="67"/>
      <c r="B24" s="55"/>
      <c r="C24" s="10"/>
      <c r="D24" s="18"/>
      <c r="E24" s="12"/>
      <c r="F24" s="13"/>
      <c r="G24" s="15"/>
      <c r="H24" s="15"/>
      <c r="I24" s="15"/>
      <c r="J24" s="53"/>
    </row>
    <row r="25" spans="1:10" ht="24.95" customHeight="1" x14ac:dyDescent="0.35">
      <c r="A25" s="67"/>
      <c r="B25" s="55"/>
      <c r="C25" s="10"/>
      <c r="D25" s="18"/>
      <c r="E25" s="12"/>
      <c r="F25" s="13"/>
      <c r="G25" s="15"/>
      <c r="H25" s="15"/>
      <c r="I25" s="15"/>
      <c r="J25" s="53"/>
    </row>
    <row r="26" spans="1:10" ht="24.95" customHeight="1" x14ac:dyDescent="0.35">
      <c r="A26" s="67"/>
      <c r="B26" s="55"/>
      <c r="C26" s="10"/>
      <c r="D26" s="18"/>
      <c r="E26" s="12"/>
      <c r="F26" s="13"/>
      <c r="G26" s="15"/>
      <c r="H26" s="15"/>
      <c r="I26" s="15"/>
      <c r="J26" s="53"/>
    </row>
    <row r="27" spans="1:10" ht="24.95" customHeight="1" x14ac:dyDescent="0.35">
      <c r="A27" s="67"/>
      <c r="B27" s="55"/>
      <c r="C27" s="10"/>
      <c r="D27" s="18"/>
      <c r="E27" s="12"/>
      <c r="F27" s="13"/>
      <c r="G27" s="15"/>
      <c r="H27" s="15"/>
      <c r="I27" s="15"/>
      <c r="J27" s="53"/>
    </row>
    <row r="28" spans="1:10" ht="24.95" customHeight="1" x14ac:dyDescent="0.35">
      <c r="A28" s="67"/>
      <c r="B28" s="55"/>
      <c r="C28" s="10"/>
      <c r="D28" s="18"/>
      <c r="E28" s="12"/>
      <c r="F28" s="13"/>
      <c r="G28" s="15"/>
      <c r="H28" s="15"/>
      <c r="I28" s="15"/>
      <c r="J28" s="53"/>
    </row>
    <row r="29" spans="1:10" ht="24.95" customHeight="1" x14ac:dyDescent="0.35">
      <c r="A29" s="67"/>
      <c r="B29" s="55"/>
      <c r="C29" s="10"/>
      <c r="D29" s="18"/>
      <c r="E29" s="12"/>
      <c r="F29" s="13"/>
      <c r="G29" s="15"/>
      <c r="H29" s="15"/>
      <c r="I29" s="15"/>
      <c r="J29" s="53"/>
    </row>
    <row r="30" spans="1:10" ht="24.95" customHeight="1" x14ac:dyDescent="0.35">
      <c r="A30" s="67"/>
      <c r="B30" s="55"/>
      <c r="C30" s="10"/>
      <c r="D30" s="18"/>
      <c r="E30" s="12"/>
      <c r="F30" s="13"/>
      <c r="G30" s="15"/>
      <c r="H30" s="15"/>
      <c r="I30" s="15"/>
      <c r="J30" s="53"/>
    </row>
    <row r="31" spans="1:10" ht="24.95" customHeight="1" x14ac:dyDescent="0.35">
      <c r="A31" s="67"/>
      <c r="B31" s="55"/>
      <c r="C31" s="10"/>
      <c r="D31" s="18"/>
      <c r="E31" s="12"/>
      <c r="F31" s="13"/>
      <c r="G31" s="15"/>
      <c r="H31" s="15"/>
      <c r="I31" s="15"/>
      <c r="J31" s="53"/>
    </row>
    <row r="32" spans="1:10" ht="24.95" customHeight="1" x14ac:dyDescent="0.35">
      <c r="A32" s="67"/>
      <c r="B32" s="55"/>
      <c r="C32" s="10"/>
      <c r="D32" s="18"/>
      <c r="E32" s="12"/>
      <c r="F32" s="13"/>
      <c r="G32" s="15"/>
      <c r="H32" s="15"/>
      <c r="I32" s="15"/>
      <c r="J32" s="53"/>
    </row>
    <row r="33" spans="1:10" ht="24.95" customHeight="1" x14ac:dyDescent="0.35">
      <c r="A33" s="67"/>
      <c r="B33" s="55"/>
      <c r="C33" s="10"/>
      <c r="D33" s="18"/>
      <c r="E33" s="12"/>
      <c r="F33" s="13"/>
      <c r="G33" s="15"/>
      <c r="H33" s="15"/>
      <c r="I33" s="15"/>
      <c r="J33" s="53"/>
    </row>
    <row r="34" spans="1:10" ht="24.95" customHeight="1" x14ac:dyDescent="0.35">
      <c r="A34" s="67"/>
      <c r="B34" s="55"/>
      <c r="C34" s="10"/>
      <c r="D34" s="18"/>
      <c r="E34" s="12"/>
      <c r="F34" s="13"/>
      <c r="G34" s="15"/>
      <c r="H34" s="15"/>
      <c r="I34" s="15"/>
      <c r="J34" s="53"/>
    </row>
    <row r="35" spans="1:10" ht="24.95" customHeight="1" x14ac:dyDescent="0.35">
      <c r="A35" s="67"/>
      <c r="B35" s="55"/>
      <c r="C35" s="10"/>
      <c r="D35" s="18"/>
      <c r="E35" s="12"/>
      <c r="F35" s="13"/>
      <c r="G35" s="15"/>
      <c r="H35" s="15"/>
      <c r="I35" s="15"/>
      <c r="J35" s="53"/>
    </row>
    <row r="36" spans="1:10" ht="24.95" customHeight="1" x14ac:dyDescent="0.35">
      <c r="A36" s="67"/>
      <c r="B36" s="55"/>
      <c r="C36" s="10"/>
      <c r="D36" s="18"/>
      <c r="E36" s="12"/>
      <c r="F36" s="13"/>
      <c r="G36" s="15"/>
      <c r="H36" s="15"/>
      <c r="I36" s="15"/>
      <c r="J36" s="53"/>
    </row>
    <row r="37" spans="1:10" ht="24.95" customHeight="1" x14ac:dyDescent="0.35">
      <c r="A37" s="67"/>
      <c r="B37" s="55"/>
      <c r="C37" s="10"/>
      <c r="D37" s="18"/>
      <c r="E37" s="12"/>
      <c r="F37" s="13"/>
      <c r="G37" s="15"/>
      <c r="H37" s="15"/>
      <c r="I37" s="15"/>
      <c r="J37" s="53"/>
    </row>
    <row r="38" spans="1:10" ht="24.95" customHeight="1" x14ac:dyDescent="0.35">
      <c r="A38" s="67"/>
      <c r="B38" s="55"/>
      <c r="C38" s="10"/>
      <c r="D38" s="18"/>
      <c r="E38" s="12"/>
      <c r="F38" s="13"/>
      <c r="G38" s="15"/>
      <c r="H38" s="15"/>
      <c r="I38" s="15"/>
      <c r="J38" s="53"/>
    </row>
    <row r="39" spans="1:10" ht="24.95" customHeight="1" x14ac:dyDescent="0.35">
      <c r="A39" s="67"/>
      <c r="B39" s="55"/>
      <c r="C39" s="10"/>
      <c r="D39" s="18"/>
      <c r="E39" s="12"/>
      <c r="F39" s="13"/>
      <c r="G39" s="15"/>
      <c r="H39" s="15"/>
      <c r="I39" s="15"/>
      <c r="J39" s="53"/>
    </row>
    <row r="40" spans="1:10" ht="24.95" customHeight="1" x14ac:dyDescent="0.35">
      <c r="A40" s="67"/>
      <c r="B40" s="55"/>
      <c r="C40" s="10"/>
      <c r="D40" s="18"/>
      <c r="E40" s="12"/>
      <c r="F40" s="13"/>
      <c r="G40" s="15"/>
      <c r="H40" s="15"/>
      <c r="I40" s="15"/>
      <c r="J40" s="53"/>
    </row>
    <row r="41" spans="1:10" ht="24.95" customHeight="1" x14ac:dyDescent="0.35">
      <c r="A41" s="67"/>
      <c r="B41" s="55"/>
      <c r="C41" s="10"/>
      <c r="D41" s="18"/>
      <c r="E41" s="12"/>
      <c r="F41" s="13"/>
      <c r="G41" s="15"/>
      <c r="H41" s="15"/>
      <c r="I41" s="15"/>
      <c r="J41" s="53"/>
    </row>
    <row r="42" spans="1:10" ht="24.95" customHeight="1" x14ac:dyDescent="0.35">
      <c r="A42" s="67"/>
      <c r="B42" s="55"/>
      <c r="C42" s="10"/>
      <c r="D42" s="18"/>
      <c r="E42" s="12"/>
      <c r="F42" s="13"/>
      <c r="G42" s="15"/>
      <c r="H42" s="15"/>
      <c r="I42" s="15"/>
      <c r="J42" s="53"/>
    </row>
    <row r="43" spans="1:10" ht="24.95" customHeight="1" x14ac:dyDescent="0.35">
      <c r="A43" s="67"/>
      <c r="B43" s="55"/>
      <c r="C43" s="10"/>
      <c r="D43" s="18"/>
      <c r="E43" s="12"/>
      <c r="F43" s="13"/>
      <c r="G43" s="15"/>
      <c r="H43" s="15"/>
      <c r="I43" s="15"/>
      <c r="J43" s="53"/>
    </row>
    <row r="44" spans="1:10" ht="24.95" customHeight="1" x14ac:dyDescent="0.35">
      <c r="A44" s="67"/>
      <c r="B44" s="55"/>
      <c r="C44" s="10"/>
      <c r="D44" s="18"/>
      <c r="E44" s="12"/>
      <c r="F44" s="13"/>
      <c r="G44" s="15"/>
      <c r="H44" s="15"/>
      <c r="I44" s="15"/>
      <c r="J44" s="53"/>
    </row>
    <row r="45" spans="1:10" ht="24.95" customHeight="1" x14ac:dyDescent="0.35">
      <c r="A45" s="67"/>
      <c r="B45" s="55"/>
      <c r="C45" s="10"/>
      <c r="D45" s="18"/>
      <c r="E45" s="12"/>
      <c r="F45" s="13"/>
      <c r="G45" s="15"/>
      <c r="H45" s="15"/>
      <c r="I45" s="15"/>
      <c r="J45" s="53"/>
    </row>
    <row r="46" spans="1:10" ht="24.95" customHeight="1" x14ac:dyDescent="0.35">
      <c r="A46" s="67"/>
      <c r="B46" s="55"/>
      <c r="C46" s="10"/>
      <c r="D46" s="18"/>
      <c r="E46" s="12"/>
      <c r="F46" s="13"/>
      <c r="G46" s="15"/>
      <c r="H46" s="15"/>
      <c r="I46" s="15"/>
      <c r="J46" s="53"/>
    </row>
    <row r="47" spans="1:10" ht="24.95" customHeight="1" x14ac:dyDescent="0.35">
      <c r="A47" s="67"/>
      <c r="B47" s="55"/>
      <c r="C47" s="10"/>
      <c r="D47" s="18"/>
      <c r="E47" s="12"/>
      <c r="F47" s="13"/>
      <c r="G47" s="15"/>
      <c r="H47" s="15"/>
      <c r="I47" s="15"/>
      <c r="J47" s="53"/>
    </row>
    <row r="48" spans="1:10" ht="24.95" customHeight="1" x14ac:dyDescent="0.35">
      <c r="A48" s="67"/>
      <c r="B48" s="55"/>
      <c r="C48" s="10"/>
      <c r="D48" s="18"/>
      <c r="E48" s="12"/>
      <c r="F48" s="13"/>
      <c r="G48" s="15"/>
      <c r="H48" s="15"/>
      <c r="I48" s="15"/>
      <c r="J48" s="53"/>
    </row>
    <row r="49" spans="1:10" ht="24.95" customHeight="1" x14ac:dyDescent="0.35">
      <c r="A49" s="67"/>
      <c r="B49" s="55"/>
      <c r="C49" s="10"/>
      <c r="D49" s="18"/>
      <c r="E49" s="12"/>
      <c r="F49" s="13"/>
      <c r="G49" s="15"/>
      <c r="H49" s="15"/>
      <c r="I49" s="15"/>
      <c r="J49" s="53"/>
    </row>
    <row r="50" spans="1:10" ht="24.95" customHeight="1" x14ac:dyDescent="0.35">
      <c r="A50" s="67"/>
      <c r="B50" s="55"/>
      <c r="C50" s="10"/>
      <c r="D50" s="18"/>
      <c r="E50" s="12"/>
      <c r="F50" s="13"/>
      <c r="G50" s="15"/>
      <c r="H50" s="15"/>
      <c r="I50" s="15"/>
      <c r="J50" s="53"/>
    </row>
    <row r="51" spans="1:10" ht="24.95" customHeight="1" x14ac:dyDescent="0.35">
      <c r="A51" s="67"/>
      <c r="B51" s="55"/>
      <c r="C51" s="10"/>
      <c r="D51" s="18"/>
      <c r="E51" s="12"/>
      <c r="F51" s="13"/>
      <c r="G51" s="15"/>
      <c r="H51" s="15"/>
      <c r="I51" s="15"/>
      <c r="J51" s="53"/>
    </row>
    <row r="52" spans="1:10" ht="24.95" customHeight="1" x14ac:dyDescent="0.35">
      <c r="A52" s="67"/>
      <c r="B52" s="55"/>
      <c r="C52" s="10"/>
      <c r="D52" s="18"/>
      <c r="E52" s="12"/>
      <c r="F52" s="13"/>
      <c r="G52" s="15"/>
      <c r="H52" s="15"/>
      <c r="I52" s="15"/>
      <c r="J52" s="53"/>
    </row>
    <row r="53" spans="1:10" ht="24.95" customHeight="1" x14ac:dyDescent="0.35">
      <c r="A53" s="67"/>
      <c r="B53" s="55"/>
      <c r="C53" s="10"/>
      <c r="D53" s="18"/>
      <c r="E53" s="12"/>
      <c r="F53" s="13"/>
      <c r="G53" s="15"/>
      <c r="H53" s="15"/>
      <c r="I53" s="15"/>
      <c r="J53" s="53"/>
    </row>
    <row r="54" spans="1:10" ht="24.95" customHeight="1" x14ac:dyDescent="0.35">
      <c r="A54" s="67"/>
      <c r="B54" s="55"/>
      <c r="C54" s="10"/>
      <c r="D54" s="18"/>
      <c r="E54" s="12"/>
      <c r="F54" s="13"/>
      <c r="G54" s="15"/>
      <c r="H54" s="15"/>
      <c r="I54" s="15"/>
      <c r="J54" s="53"/>
    </row>
    <row r="55" spans="1:10" ht="24.95" customHeight="1" x14ac:dyDescent="0.35">
      <c r="A55" s="67"/>
      <c r="B55" s="55"/>
      <c r="C55" s="10"/>
      <c r="D55" s="18"/>
      <c r="E55" s="12"/>
      <c r="F55" s="13"/>
      <c r="G55" s="15"/>
      <c r="H55" s="15"/>
      <c r="I55" s="15"/>
      <c r="J55" s="53"/>
    </row>
    <row r="56" spans="1:10" ht="24.95" customHeight="1" x14ac:dyDescent="0.35">
      <c r="A56" s="67"/>
      <c r="B56" s="55"/>
      <c r="C56" s="10"/>
      <c r="D56" s="18"/>
      <c r="E56" s="12"/>
      <c r="F56" s="13"/>
      <c r="G56" s="15"/>
      <c r="H56" s="15"/>
      <c r="I56" s="15"/>
      <c r="J56" s="53"/>
    </row>
    <row r="57" spans="1:10" ht="24.95" customHeight="1" x14ac:dyDescent="0.35">
      <c r="A57" s="67"/>
      <c r="B57" s="55"/>
      <c r="C57" s="10"/>
      <c r="D57" s="11"/>
      <c r="E57" s="12"/>
      <c r="F57" s="13"/>
      <c r="G57" s="15"/>
      <c r="H57" s="15"/>
      <c r="I57" s="15"/>
      <c r="J57" s="53"/>
    </row>
    <row r="58" spans="1:10" ht="24.95" customHeight="1" x14ac:dyDescent="0.35">
      <c r="A58" s="67"/>
      <c r="B58" s="55"/>
      <c r="C58" s="10"/>
      <c r="D58" s="18"/>
      <c r="E58" s="12"/>
      <c r="F58" s="13"/>
      <c r="G58" s="15"/>
      <c r="H58" s="15"/>
      <c r="I58" s="15"/>
      <c r="J58" s="53"/>
    </row>
    <row r="59" spans="1:10" ht="24.95" customHeight="1" x14ac:dyDescent="0.35">
      <c r="A59" s="67"/>
      <c r="B59" s="55"/>
      <c r="C59" s="10"/>
      <c r="D59" s="18"/>
      <c r="E59" s="12"/>
      <c r="F59" s="13"/>
      <c r="G59" s="15"/>
      <c r="H59" s="15"/>
      <c r="I59" s="15"/>
      <c r="J59" s="53"/>
    </row>
    <row r="60" spans="1:10" ht="24.95" customHeight="1" x14ac:dyDescent="0.35">
      <c r="A60" s="67"/>
      <c r="B60" s="55"/>
      <c r="C60" s="10"/>
      <c r="D60" s="18"/>
      <c r="E60" s="12"/>
      <c r="F60" s="13"/>
      <c r="G60" s="15"/>
      <c r="H60" s="15"/>
      <c r="I60" s="15"/>
      <c r="J60" s="53"/>
    </row>
    <row r="61" spans="1:10" ht="24.95" customHeight="1" x14ac:dyDescent="0.35">
      <c r="A61" s="67"/>
      <c r="B61" s="55"/>
      <c r="C61" s="10"/>
      <c r="D61" s="18"/>
      <c r="E61" s="12"/>
      <c r="F61" s="13"/>
      <c r="G61" s="15"/>
      <c r="H61" s="15"/>
      <c r="I61" s="15"/>
      <c r="J61" s="53"/>
    </row>
    <row r="62" spans="1:10" ht="24.95" customHeight="1" thickBot="1" x14ac:dyDescent="0.4">
      <c r="A62" s="68"/>
      <c r="B62" s="72"/>
      <c r="C62" s="19"/>
      <c r="D62" s="20"/>
      <c r="E62" s="21"/>
      <c r="F62" s="22"/>
      <c r="G62" s="23"/>
      <c r="H62" s="23"/>
      <c r="I62" s="23"/>
      <c r="J62" s="54"/>
    </row>
  </sheetData>
  <sheetProtection sheet="1" objects="1" scenarios="1"/>
  <mergeCells count="1">
    <mergeCell ref="D1:H1"/>
  </mergeCells>
  <conditionalFormatting sqref="C3:C62">
    <cfRule type="expression" dxfId="3" priority="1">
      <formula>$A3&lt;&gt;""</formula>
    </cfRule>
  </conditionalFormatting>
  <dataValidations count="2">
    <dataValidation type="list" allowBlank="1" showInputMessage="1" showErrorMessage="1" sqref="E3:E62" xr:uid="{00000000-0002-0000-0700-000000000000}">
      <formula1>Fédérations</formula1>
    </dataValidation>
    <dataValidation type="list" allowBlank="1" showInputMessage="1" showErrorMessage="1" sqref="B3:B62" xr:uid="{00000000-0002-0000-0700-000001000000}">
      <formula1>Rang</formula1>
    </dataValidation>
  </dataValidations>
  <pageMargins left="0.7" right="0.7" top="0.75" bottom="0.75" header="0.3" footer="0.3"/>
  <pageSetup paperSize="9" scale="70" fitToHeight="0" orientation="landscape" r:id="rId1"/>
  <headerFooter>
    <oddHeader>&amp;C&amp;"Arial Black"&amp;20Grand prix Oyeu-Burcin 2026</oddHeader>
    <oddFooter>&amp;C&amp;"Arial"&amp;G&amp;12AB =&gt; abandon        NC =&gt; non classé, arrivée en peloton        NP =&gt; non partant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8">
    <tabColor theme="5" tint="0.39997558519241921"/>
    <pageSetUpPr fitToPage="1"/>
  </sheetPr>
  <dimension ref="A1:J62"/>
  <sheetViews>
    <sheetView showGridLines="0" showRowColHeaders="0" workbookViewId="0">
      <selection activeCell="C3" sqref="C3"/>
    </sheetView>
  </sheetViews>
  <sheetFormatPr baseColWidth="10" defaultColWidth="11.3984375" defaultRowHeight="12.75" x14ac:dyDescent="0.35"/>
  <cols>
    <col min="1" max="1" width="7.59765625" style="8" customWidth="1"/>
    <col min="2" max="2" width="14.1328125" style="8" bestFit="1" customWidth="1"/>
    <col min="3" max="3" width="10.59765625" style="9" bestFit="1" customWidth="1"/>
    <col min="4" max="4" width="16.1328125" style="24" customWidth="1"/>
    <col min="5" max="5" width="13" style="8" bestFit="1" customWidth="1"/>
    <col min="6" max="6" width="15.265625" style="8" bestFit="1" customWidth="1"/>
    <col min="7" max="8" width="22.73046875" style="7" customWidth="1"/>
    <col min="9" max="9" width="47.73046875" style="7" customWidth="1"/>
    <col min="10" max="10" width="20.73046875" style="8" customWidth="1"/>
    <col min="11" max="16384" width="11.3984375" style="9"/>
  </cols>
  <sheetData>
    <row r="1" spans="1:10" s="29" customFormat="1" ht="91.9" customHeight="1" thickBot="1" x14ac:dyDescent="0.4">
      <c r="A1" s="28"/>
      <c r="B1" s="25" t="s">
        <v>164</v>
      </c>
      <c r="C1" s="26">
        <f>COUNTA(G3:G62)-COUNTIF(B3:B62,"NP")</f>
        <v>0</v>
      </c>
      <c r="D1" s="126"/>
      <c r="E1" s="126"/>
      <c r="F1" s="126"/>
      <c r="G1" s="126"/>
      <c r="H1" s="126"/>
      <c r="I1" s="27"/>
      <c r="J1" s="28"/>
    </row>
    <row r="2" spans="1:10" s="34" customFormat="1" ht="24.95" customHeight="1" x14ac:dyDescent="0.35">
      <c r="A2" s="73" t="s">
        <v>193</v>
      </c>
      <c r="B2" s="30" t="s">
        <v>143</v>
      </c>
      <c r="C2" s="31" t="s">
        <v>140</v>
      </c>
      <c r="D2" s="32" t="s">
        <v>141</v>
      </c>
      <c r="E2" s="31" t="s">
        <v>144</v>
      </c>
      <c r="F2" s="31" t="s">
        <v>145</v>
      </c>
      <c r="G2" s="66" t="s">
        <v>142</v>
      </c>
      <c r="H2" s="31" t="s">
        <v>192</v>
      </c>
      <c r="I2" s="31" t="s">
        <v>1</v>
      </c>
      <c r="J2" s="33" t="s">
        <v>153</v>
      </c>
    </row>
    <row r="3" spans="1:10" ht="24.95" customHeight="1" x14ac:dyDescent="0.35">
      <c r="A3" s="70"/>
      <c r="B3" s="55"/>
      <c r="C3" s="10"/>
      <c r="D3" s="18"/>
      <c r="E3" s="12"/>
      <c r="F3" s="13"/>
      <c r="G3" s="15"/>
      <c r="H3" s="14"/>
      <c r="I3" s="14"/>
      <c r="J3" s="51"/>
    </row>
    <row r="4" spans="1:10" ht="24.95" customHeight="1" x14ac:dyDescent="0.35">
      <c r="A4" s="69"/>
      <c r="B4" s="55"/>
      <c r="C4" s="10"/>
      <c r="D4" s="11"/>
      <c r="E4" s="12"/>
      <c r="F4" s="13"/>
      <c r="G4" s="15"/>
      <c r="H4" s="15"/>
      <c r="I4" s="15"/>
      <c r="J4" s="52"/>
    </row>
    <row r="5" spans="1:10" ht="24.95" customHeight="1" x14ac:dyDescent="0.35">
      <c r="A5" s="69"/>
      <c r="B5" s="55"/>
      <c r="C5" s="10"/>
      <c r="D5" s="11"/>
      <c r="E5" s="12"/>
      <c r="F5" s="13"/>
      <c r="G5" s="15"/>
      <c r="H5" s="14"/>
      <c r="I5" s="15"/>
      <c r="J5" s="52"/>
    </row>
    <row r="6" spans="1:10" ht="24.95" customHeight="1" x14ac:dyDescent="0.35">
      <c r="A6" s="69"/>
      <c r="B6" s="55"/>
      <c r="C6" s="10"/>
      <c r="D6" s="11"/>
      <c r="E6" s="12"/>
      <c r="F6" s="13"/>
      <c r="G6" s="15"/>
      <c r="H6" s="16"/>
      <c r="I6" s="16"/>
      <c r="J6" s="52"/>
    </row>
    <row r="7" spans="1:10" ht="24.95" customHeight="1" x14ac:dyDescent="0.35">
      <c r="A7" s="69"/>
      <c r="B7" s="55"/>
      <c r="C7" s="10"/>
      <c r="D7" s="11"/>
      <c r="E7" s="12"/>
      <c r="F7" s="13"/>
      <c r="G7" s="16"/>
      <c r="H7" s="16"/>
      <c r="I7" s="16"/>
      <c r="J7" s="53"/>
    </row>
    <row r="8" spans="1:10" ht="24.95" customHeight="1" x14ac:dyDescent="0.35">
      <c r="A8" s="69"/>
      <c r="B8" s="55"/>
      <c r="C8" s="10"/>
      <c r="D8" s="11"/>
      <c r="E8" s="12"/>
      <c r="F8" s="13"/>
      <c r="G8" s="15"/>
      <c r="H8" s="15"/>
      <c r="I8" s="15"/>
      <c r="J8" s="53"/>
    </row>
    <row r="9" spans="1:10" ht="24.95" customHeight="1" x14ac:dyDescent="0.35">
      <c r="A9" s="69"/>
      <c r="B9" s="55"/>
      <c r="C9" s="10"/>
      <c r="D9" s="11"/>
      <c r="E9" s="12"/>
      <c r="F9" s="13"/>
      <c r="G9" s="16"/>
      <c r="H9" s="16"/>
      <c r="I9" s="16"/>
      <c r="J9" s="52"/>
    </row>
    <row r="10" spans="1:10" ht="24.95" customHeight="1" x14ac:dyDescent="0.35">
      <c r="A10" s="69"/>
      <c r="B10" s="55"/>
      <c r="C10" s="10"/>
      <c r="D10" s="11"/>
      <c r="E10" s="12"/>
      <c r="F10" s="13"/>
      <c r="G10" s="16"/>
      <c r="H10" s="16"/>
      <c r="I10" s="16"/>
      <c r="J10" s="52"/>
    </row>
    <row r="11" spans="1:10" ht="24.95" customHeight="1" x14ac:dyDescent="0.35">
      <c r="A11" s="69"/>
      <c r="B11" s="55"/>
      <c r="C11" s="10"/>
      <c r="D11" s="11"/>
      <c r="E11" s="12"/>
      <c r="F11" s="13"/>
      <c r="G11" s="16"/>
      <c r="H11" s="16"/>
      <c r="I11" s="16"/>
      <c r="J11" s="52"/>
    </row>
    <row r="12" spans="1:10" ht="24.95" customHeight="1" x14ac:dyDescent="0.35">
      <c r="A12" s="69"/>
      <c r="B12" s="55"/>
      <c r="C12" s="10"/>
      <c r="D12" s="11"/>
      <c r="E12" s="12"/>
      <c r="F12" s="13"/>
      <c r="G12" s="16"/>
      <c r="H12" s="16"/>
      <c r="I12" s="16"/>
      <c r="J12" s="53"/>
    </row>
    <row r="13" spans="1:10" ht="24.95" customHeight="1" x14ac:dyDescent="0.35">
      <c r="A13" s="69"/>
      <c r="B13" s="55"/>
      <c r="C13" s="10"/>
      <c r="D13" s="11"/>
      <c r="E13" s="12"/>
      <c r="F13" s="13"/>
      <c r="G13" s="15"/>
      <c r="H13" s="15"/>
      <c r="I13" s="15"/>
      <c r="J13" s="53"/>
    </row>
    <row r="14" spans="1:10" ht="24.95" customHeight="1" x14ac:dyDescent="0.35">
      <c r="A14" s="69"/>
      <c r="B14" s="55"/>
      <c r="C14" s="10"/>
      <c r="D14" s="11"/>
      <c r="E14" s="12"/>
      <c r="F14" s="13"/>
      <c r="G14" s="15"/>
      <c r="H14" s="15"/>
      <c r="I14" s="15"/>
      <c r="J14" s="53"/>
    </row>
    <row r="15" spans="1:10" ht="24.95" customHeight="1" x14ac:dyDescent="0.35">
      <c r="A15" s="69"/>
      <c r="B15" s="55"/>
      <c r="C15" s="10"/>
      <c r="D15" s="11"/>
      <c r="E15" s="12"/>
      <c r="F15" s="13"/>
      <c r="G15" s="15"/>
      <c r="H15" s="15"/>
      <c r="I15" s="15"/>
      <c r="J15" s="53"/>
    </row>
    <row r="16" spans="1:10" ht="24.95" customHeight="1" x14ac:dyDescent="0.35">
      <c r="A16" s="69"/>
      <c r="B16" s="55"/>
      <c r="C16" s="10"/>
      <c r="D16" s="11"/>
      <c r="E16" s="12"/>
      <c r="F16" s="13"/>
      <c r="G16" s="15"/>
      <c r="H16" s="15"/>
      <c r="I16" s="15"/>
      <c r="J16" s="53"/>
    </row>
    <row r="17" spans="1:10" ht="24.95" customHeight="1" x14ac:dyDescent="0.35">
      <c r="A17" s="69"/>
      <c r="B17" s="55"/>
      <c r="C17" s="10"/>
      <c r="D17" s="11"/>
      <c r="E17" s="12"/>
      <c r="F17" s="13"/>
      <c r="G17" s="15"/>
      <c r="H17" s="15"/>
      <c r="I17" s="15"/>
      <c r="J17" s="53"/>
    </row>
    <row r="18" spans="1:10" ht="24.95" customHeight="1" x14ac:dyDescent="0.35">
      <c r="A18" s="69"/>
      <c r="B18" s="55"/>
      <c r="C18" s="10"/>
      <c r="D18" s="11"/>
      <c r="E18" s="12"/>
      <c r="F18" s="13"/>
      <c r="G18" s="15"/>
      <c r="H18" s="15"/>
      <c r="I18" s="15"/>
      <c r="J18" s="53"/>
    </row>
    <row r="19" spans="1:10" ht="24.95" customHeight="1" x14ac:dyDescent="0.35">
      <c r="A19" s="69"/>
      <c r="B19" s="55"/>
      <c r="C19" s="10"/>
      <c r="D19" s="11"/>
      <c r="E19" s="12"/>
      <c r="F19" s="13"/>
      <c r="G19" s="15"/>
      <c r="H19" s="15"/>
      <c r="I19" s="15"/>
      <c r="J19" s="53"/>
    </row>
    <row r="20" spans="1:10" ht="24.95" customHeight="1" x14ac:dyDescent="0.35">
      <c r="A20" s="69"/>
      <c r="B20" s="55"/>
      <c r="C20" s="10"/>
      <c r="D20" s="11"/>
      <c r="E20" s="12"/>
      <c r="F20" s="13"/>
      <c r="G20" s="15"/>
      <c r="H20" s="15"/>
      <c r="I20" s="15"/>
      <c r="J20" s="53"/>
    </row>
    <row r="21" spans="1:10" ht="24.95" customHeight="1" x14ac:dyDescent="0.35">
      <c r="A21" s="67"/>
      <c r="B21" s="55"/>
      <c r="C21" s="10"/>
      <c r="D21" s="18"/>
      <c r="E21" s="12"/>
      <c r="F21" s="13"/>
      <c r="G21" s="15"/>
      <c r="H21" s="15"/>
      <c r="I21" s="15"/>
      <c r="J21" s="53"/>
    </row>
    <row r="22" spans="1:10" ht="24.95" customHeight="1" x14ac:dyDescent="0.35">
      <c r="A22" s="67"/>
      <c r="B22" s="55"/>
      <c r="C22" s="10"/>
      <c r="D22" s="18"/>
      <c r="E22" s="12"/>
      <c r="F22" s="13"/>
      <c r="G22" s="15"/>
      <c r="H22" s="15"/>
      <c r="I22" s="15"/>
      <c r="J22" s="53"/>
    </row>
    <row r="23" spans="1:10" ht="24.95" customHeight="1" x14ac:dyDescent="0.35">
      <c r="A23" s="67"/>
      <c r="B23" s="55"/>
      <c r="C23" s="10"/>
      <c r="D23" s="18"/>
      <c r="E23" s="12"/>
      <c r="F23" s="13"/>
      <c r="G23" s="15"/>
      <c r="H23" s="15"/>
      <c r="I23" s="15"/>
      <c r="J23" s="53"/>
    </row>
    <row r="24" spans="1:10" ht="24.95" customHeight="1" x14ac:dyDescent="0.35">
      <c r="A24" s="67"/>
      <c r="B24" s="55"/>
      <c r="C24" s="10"/>
      <c r="D24" s="18"/>
      <c r="E24" s="12"/>
      <c r="F24" s="13"/>
      <c r="G24" s="15"/>
      <c r="H24" s="15"/>
      <c r="I24" s="15"/>
      <c r="J24" s="53"/>
    </row>
    <row r="25" spans="1:10" ht="24.95" customHeight="1" x14ac:dyDescent="0.35">
      <c r="A25" s="67"/>
      <c r="B25" s="55"/>
      <c r="C25" s="10"/>
      <c r="D25" s="18"/>
      <c r="E25" s="12"/>
      <c r="F25" s="13"/>
      <c r="G25" s="15"/>
      <c r="H25" s="15"/>
      <c r="I25" s="15"/>
      <c r="J25" s="53"/>
    </row>
    <row r="26" spans="1:10" ht="24.95" customHeight="1" x14ac:dyDescent="0.35">
      <c r="A26" s="67"/>
      <c r="B26" s="55"/>
      <c r="C26" s="10"/>
      <c r="D26" s="18"/>
      <c r="E26" s="12"/>
      <c r="F26" s="13"/>
      <c r="G26" s="15"/>
      <c r="H26" s="15"/>
      <c r="I26" s="15"/>
      <c r="J26" s="53"/>
    </row>
    <row r="27" spans="1:10" ht="24.95" customHeight="1" x14ac:dyDescent="0.35">
      <c r="A27" s="67"/>
      <c r="B27" s="55"/>
      <c r="C27" s="10"/>
      <c r="D27" s="18"/>
      <c r="E27" s="12"/>
      <c r="F27" s="13"/>
      <c r="G27" s="15"/>
      <c r="H27" s="15"/>
      <c r="I27" s="15"/>
      <c r="J27" s="53"/>
    </row>
    <row r="28" spans="1:10" ht="24.95" customHeight="1" x14ac:dyDescent="0.35">
      <c r="A28" s="67"/>
      <c r="B28" s="55"/>
      <c r="C28" s="10"/>
      <c r="D28" s="18"/>
      <c r="E28" s="12"/>
      <c r="F28" s="13"/>
      <c r="G28" s="15"/>
      <c r="H28" s="15"/>
      <c r="I28" s="15"/>
      <c r="J28" s="53"/>
    </row>
    <row r="29" spans="1:10" ht="24.95" customHeight="1" x14ac:dyDescent="0.35">
      <c r="A29" s="67"/>
      <c r="B29" s="55"/>
      <c r="C29" s="10"/>
      <c r="D29" s="18"/>
      <c r="E29" s="12"/>
      <c r="F29" s="13"/>
      <c r="G29" s="15"/>
      <c r="H29" s="15"/>
      <c r="I29" s="15"/>
      <c r="J29" s="53"/>
    </row>
    <row r="30" spans="1:10" ht="24.95" customHeight="1" x14ac:dyDescent="0.35">
      <c r="A30" s="67"/>
      <c r="B30" s="55"/>
      <c r="C30" s="10"/>
      <c r="D30" s="18"/>
      <c r="E30" s="12"/>
      <c r="F30" s="13"/>
      <c r="G30" s="15"/>
      <c r="H30" s="15"/>
      <c r="I30" s="15"/>
      <c r="J30" s="53"/>
    </row>
    <row r="31" spans="1:10" ht="24.95" customHeight="1" x14ac:dyDescent="0.35">
      <c r="A31" s="67"/>
      <c r="B31" s="55"/>
      <c r="C31" s="10"/>
      <c r="D31" s="18"/>
      <c r="E31" s="12"/>
      <c r="F31" s="13"/>
      <c r="G31" s="15"/>
      <c r="H31" s="15"/>
      <c r="I31" s="15"/>
      <c r="J31" s="53"/>
    </row>
    <row r="32" spans="1:10" ht="24.95" customHeight="1" x14ac:dyDescent="0.35">
      <c r="A32" s="67"/>
      <c r="B32" s="55"/>
      <c r="C32" s="10"/>
      <c r="D32" s="18"/>
      <c r="E32" s="12"/>
      <c r="F32" s="13"/>
      <c r="G32" s="15"/>
      <c r="H32" s="15"/>
      <c r="I32" s="15"/>
      <c r="J32" s="53"/>
    </row>
    <row r="33" spans="1:10" ht="24.95" customHeight="1" x14ac:dyDescent="0.35">
      <c r="A33" s="67"/>
      <c r="B33" s="55"/>
      <c r="C33" s="10"/>
      <c r="D33" s="18"/>
      <c r="E33" s="12"/>
      <c r="F33" s="13"/>
      <c r="G33" s="15"/>
      <c r="H33" s="15"/>
      <c r="I33" s="15"/>
      <c r="J33" s="53"/>
    </row>
    <row r="34" spans="1:10" ht="24.95" customHeight="1" x14ac:dyDescent="0.35">
      <c r="A34" s="67"/>
      <c r="B34" s="55"/>
      <c r="C34" s="10"/>
      <c r="D34" s="18"/>
      <c r="E34" s="12"/>
      <c r="F34" s="13"/>
      <c r="G34" s="15"/>
      <c r="H34" s="15"/>
      <c r="I34" s="15"/>
      <c r="J34" s="53"/>
    </row>
    <row r="35" spans="1:10" ht="24.95" customHeight="1" x14ac:dyDescent="0.35">
      <c r="A35" s="67"/>
      <c r="B35" s="55"/>
      <c r="C35" s="10"/>
      <c r="D35" s="18"/>
      <c r="E35" s="12"/>
      <c r="F35" s="13"/>
      <c r="G35" s="15"/>
      <c r="H35" s="15"/>
      <c r="I35" s="15"/>
      <c r="J35" s="53"/>
    </row>
    <row r="36" spans="1:10" ht="24.95" customHeight="1" x14ac:dyDescent="0.35">
      <c r="A36" s="67"/>
      <c r="B36" s="55"/>
      <c r="C36" s="10"/>
      <c r="D36" s="18"/>
      <c r="E36" s="12"/>
      <c r="F36" s="13"/>
      <c r="G36" s="15"/>
      <c r="H36" s="15"/>
      <c r="I36" s="15"/>
      <c r="J36" s="53"/>
    </row>
    <row r="37" spans="1:10" ht="24.95" customHeight="1" x14ac:dyDescent="0.35">
      <c r="A37" s="67"/>
      <c r="B37" s="55"/>
      <c r="C37" s="10"/>
      <c r="D37" s="18"/>
      <c r="E37" s="12"/>
      <c r="F37" s="13"/>
      <c r="G37" s="15"/>
      <c r="H37" s="15"/>
      <c r="I37" s="15"/>
      <c r="J37" s="53"/>
    </row>
    <row r="38" spans="1:10" ht="24.95" customHeight="1" x14ac:dyDescent="0.35">
      <c r="A38" s="67"/>
      <c r="B38" s="55"/>
      <c r="C38" s="10"/>
      <c r="D38" s="18"/>
      <c r="E38" s="12"/>
      <c r="F38" s="13"/>
      <c r="G38" s="15"/>
      <c r="H38" s="15"/>
      <c r="I38" s="15"/>
      <c r="J38" s="53"/>
    </row>
    <row r="39" spans="1:10" ht="24.95" customHeight="1" x14ac:dyDescent="0.35">
      <c r="A39" s="67"/>
      <c r="B39" s="55"/>
      <c r="C39" s="10"/>
      <c r="D39" s="18"/>
      <c r="E39" s="12"/>
      <c r="F39" s="13"/>
      <c r="G39" s="15"/>
      <c r="H39" s="15"/>
      <c r="I39" s="15"/>
      <c r="J39" s="53"/>
    </row>
    <row r="40" spans="1:10" ht="24.95" customHeight="1" x14ac:dyDescent="0.35">
      <c r="A40" s="67"/>
      <c r="B40" s="55"/>
      <c r="C40" s="10"/>
      <c r="D40" s="18"/>
      <c r="E40" s="12"/>
      <c r="F40" s="13"/>
      <c r="G40" s="15"/>
      <c r="H40" s="15"/>
      <c r="I40" s="15"/>
      <c r="J40" s="53"/>
    </row>
    <row r="41" spans="1:10" ht="24.95" customHeight="1" x14ac:dyDescent="0.35">
      <c r="A41" s="67"/>
      <c r="B41" s="55"/>
      <c r="C41" s="10"/>
      <c r="D41" s="18"/>
      <c r="E41" s="12"/>
      <c r="F41" s="13"/>
      <c r="G41" s="15"/>
      <c r="H41" s="15"/>
      <c r="I41" s="15"/>
      <c r="J41" s="53"/>
    </row>
    <row r="42" spans="1:10" ht="24.95" customHeight="1" x14ac:dyDescent="0.35">
      <c r="A42" s="67"/>
      <c r="B42" s="55"/>
      <c r="C42" s="10"/>
      <c r="D42" s="18"/>
      <c r="E42" s="12"/>
      <c r="F42" s="13"/>
      <c r="G42" s="15"/>
      <c r="H42" s="15"/>
      <c r="I42" s="15"/>
      <c r="J42" s="53"/>
    </row>
    <row r="43" spans="1:10" ht="24.95" customHeight="1" x14ac:dyDescent="0.35">
      <c r="A43" s="67"/>
      <c r="B43" s="55"/>
      <c r="C43" s="10"/>
      <c r="D43" s="18"/>
      <c r="E43" s="12"/>
      <c r="F43" s="13"/>
      <c r="G43" s="15"/>
      <c r="H43" s="15"/>
      <c r="I43" s="15"/>
      <c r="J43" s="53"/>
    </row>
    <row r="44" spans="1:10" ht="24.95" customHeight="1" x14ac:dyDescent="0.35">
      <c r="A44" s="67"/>
      <c r="B44" s="55"/>
      <c r="C44" s="10"/>
      <c r="D44" s="18"/>
      <c r="E44" s="12"/>
      <c r="F44" s="13"/>
      <c r="G44" s="15"/>
      <c r="H44" s="15"/>
      <c r="I44" s="15"/>
      <c r="J44" s="53"/>
    </row>
    <row r="45" spans="1:10" ht="24.95" customHeight="1" x14ac:dyDescent="0.35">
      <c r="A45" s="67"/>
      <c r="B45" s="55"/>
      <c r="C45" s="10"/>
      <c r="D45" s="18"/>
      <c r="E45" s="12"/>
      <c r="F45" s="13"/>
      <c r="G45" s="15"/>
      <c r="H45" s="15"/>
      <c r="I45" s="15"/>
      <c r="J45" s="53"/>
    </row>
    <row r="46" spans="1:10" ht="24.95" customHeight="1" x14ac:dyDescent="0.35">
      <c r="A46" s="67"/>
      <c r="B46" s="55"/>
      <c r="C46" s="10"/>
      <c r="D46" s="18"/>
      <c r="E46" s="12"/>
      <c r="F46" s="13"/>
      <c r="G46" s="15"/>
      <c r="H46" s="15"/>
      <c r="I46" s="15"/>
      <c r="J46" s="53"/>
    </row>
    <row r="47" spans="1:10" ht="24.95" customHeight="1" x14ac:dyDescent="0.35">
      <c r="A47" s="67"/>
      <c r="B47" s="55"/>
      <c r="C47" s="10"/>
      <c r="D47" s="18"/>
      <c r="E47" s="12"/>
      <c r="F47" s="13"/>
      <c r="G47" s="15"/>
      <c r="H47" s="15"/>
      <c r="I47" s="15"/>
      <c r="J47" s="53"/>
    </row>
    <row r="48" spans="1:10" ht="24.95" customHeight="1" x14ac:dyDescent="0.35">
      <c r="A48" s="67"/>
      <c r="B48" s="55"/>
      <c r="C48" s="10"/>
      <c r="D48" s="18"/>
      <c r="E48" s="12"/>
      <c r="F48" s="13"/>
      <c r="G48" s="15"/>
      <c r="H48" s="15"/>
      <c r="I48" s="15"/>
      <c r="J48" s="53"/>
    </row>
    <row r="49" spans="1:10" ht="24.95" customHeight="1" x14ac:dyDescent="0.35">
      <c r="A49" s="67"/>
      <c r="B49" s="55"/>
      <c r="C49" s="10"/>
      <c r="D49" s="18"/>
      <c r="E49" s="12"/>
      <c r="F49" s="13"/>
      <c r="G49" s="15"/>
      <c r="H49" s="15"/>
      <c r="I49" s="15"/>
      <c r="J49" s="53"/>
    </row>
    <row r="50" spans="1:10" ht="24.95" customHeight="1" x14ac:dyDescent="0.35">
      <c r="A50" s="67"/>
      <c r="B50" s="55"/>
      <c r="C50" s="10"/>
      <c r="D50" s="18"/>
      <c r="E50" s="12"/>
      <c r="F50" s="13"/>
      <c r="G50" s="15"/>
      <c r="H50" s="15"/>
      <c r="I50" s="15"/>
      <c r="J50" s="53"/>
    </row>
    <row r="51" spans="1:10" ht="24.95" customHeight="1" x14ac:dyDescent="0.35">
      <c r="A51" s="67"/>
      <c r="B51" s="55"/>
      <c r="C51" s="10"/>
      <c r="D51" s="18"/>
      <c r="E51" s="12"/>
      <c r="F51" s="13"/>
      <c r="G51" s="15"/>
      <c r="H51" s="15"/>
      <c r="I51" s="15"/>
      <c r="J51" s="53"/>
    </row>
    <row r="52" spans="1:10" ht="24.95" customHeight="1" x14ac:dyDescent="0.35">
      <c r="A52" s="67"/>
      <c r="B52" s="55"/>
      <c r="C52" s="10"/>
      <c r="D52" s="18"/>
      <c r="E52" s="12"/>
      <c r="F52" s="13"/>
      <c r="G52" s="15"/>
      <c r="H52" s="15"/>
      <c r="I52" s="15"/>
      <c r="J52" s="53"/>
    </row>
    <row r="53" spans="1:10" ht="24.95" customHeight="1" x14ac:dyDescent="0.35">
      <c r="A53" s="67"/>
      <c r="B53" s="55"/>
      <c r="C53" s="10"/>
      <c r="D53" s="18"/>
      <c r="E53" s="12"/>
      <c r="F53" s="13"/>
      <c r="G53" s="15"/>
      <c r="H53" s="15"/>
      <c r="I53" s="15"/>
      <c r="J53" s="53"/>
    </row>
    <row r="54" spans="1:10" ht="24.95" customHeight="1" x14ac:dyDescent="0.35">
      <c r="A54" s="67"/>
      <c r="B54" s="55"/>
      <c r="C54" s="10"/>
      <c r="D54" s="18"/>
      <c r="E54" s="12"/>
      <c r="F54" s="13"/>
      <c r="G54" s="15"/>
      <c r="H54" s="15"/>
      <c r="I54" s="15"/>
      <c r="J54" s="53"/>
    </row>
    <row r="55" spans="1:10" ht="24.95" customHeight="1" x14ac:dyDescent="0.35">
      <c r="A55" s="67"/>
      <c r="B55" s="55"/>
      <c r="C55" s="10"/>
      <c r="D55" s="18"/>
      <c r="E55" s="12"/>
      <c r="F55" s="13"/>
      <c r="G55" s="15"/>
      <c r="H55" s="15"/>
      <c r="I55" s="15"/>
      <c r="J55" s="53"/>
    </row>
    <row r="56" spans="1:10" ht="24.95" customHeight="1" x14ac:dyDescent="0.35">
      <c r="A56" s="67"/>
      <c r="B56" s="55"/>
      <c r="C56" s="10"/>
      <c r="D56" s="18"/>
      <c r="E56" s="12"/>
      <c r="F56" s="13"/>
      <c r="G56" s="15"/>
      <c r="H56" s="15"/>
      <c r="I56" s="15"/>
      <c r="J56" s="53"/>
    </row>
    <row r="57" spans="1:10" ht="24.95" customHeight="1" x14ac:dyDescent="0.35">
      <c r="A57" s="67"/>
      <c r="B57" s="55"/>
      <c r="C57" s="10"/>
      <c r="D57" s="11"/>
      <c r="E57" s="12"/>
      <c r="F57" s="13"/>
      <c r="G57" s="15"/>
      <c r="H57" s="15"/>
      <c r="I57" s="15"/>
      <c r="J57" s="53"/>
    </row>
    <row r="58" spans="1:10" ht="24.95" customHeight="1" x14ac:dyDescent="0.35">
      <c r="A58" s="67"/>
      <c r="B58" s="55"/>
      <c r="C58" s="10"/>
      <c r="D58" s="18"/>
      <c r="E58" s="12"/>
      <c r="F58" s="13"/>
      <c r="G58" s="15"/>
      <c r="H58" s="15"/>
      <c r="I58" s="15"/>
      <c r="J58" s="53"/>
    </row>
    <row r="59" spans="1:10" ht="24.95" customHeight="1" x14ac:dyDescent="0.35">
      <c r="A59" s="67"/>
      <c r="B59" s="55"/>
      <c r="C59" s="10"/>
      <c r="D59" s="18"/>
      <c r="E59" s="12"/>
      <c r="F59" s="13"/>
      <c r="G59" s="15"/>
      <c r="H59" s="15"/>
      <c r="I59" s="15"/>
      <c r="J59" s="53"/>
    </row>
    <row r="60" spans="1:10" ht="24.95" customHeight="1" x14ac:dyDescent="0.35">
      <c r="A60" s="67"/>
      <c r="B60" s="55"/>
      <c r="C60" s="10"/>
      <c r="D60" s="18"/>
      <c r="E60" s="12"/>
      <c r="F60" s="13"/>
      <c r="G60" s="15"/>
      <c r="H60" s="15"/>
      <c r="I60" s="15"/>
      <c r="J60" s="53"/>
    </row>
    <row r="61" spans="1:10" ht="24.95" customHeight="1" x14ac:dyDescent="0.35">
      <c r="A61" s="67"/>
      <c r="B61" s="55"/>
      <c r="C61" s="10"/>
      <c r="D61" s="18"/>
      <c r="E61" s="12"/>
      <c r="F61" s="13"/>
      <c r="G61" s="15"/>
      <c r="H61" s="15"/>
      <c r="I61" s="15"/>
      <c r="J61" s="53"/>
    </row>
    <row r="62" spans="1:10" ht="24.95" customHeight="1" thickBot="1" x14ac:dyDescent="0.4">
      <c r="A62" s="68"/>
      <c r="B62" s="72"/>
      <c r="C62" s="19"/>
      <c r="D62" s="20"/>
      <c r="E62" s="21"/>
      <c r="F62" s="22"/>
      <c r="G62" s="23"/>
      <c r="H62" s="23"/>
      <c r="I62" s="23"/>
      <c r="J62" s="54"/>
    </row>
  </sheetData>
  <sheetProtection sheet="1" objects="1" scenarios="1"/>
  <mergeCells count="1">
    <mergeCell ref="D1:H1"/>
  </mergeCells>
  <conditionalFormatting sqref="C3:C62">
    <cfRule type="expression" dxfId="2" priority="1">
      <formula>$A3&lt;&gt;""</formula>
    </cfRule>
  </conditionalFormatting>
  <dataValidations count="2">
    <dataValidation type="list" allowBlank="1" showInputMessage="1" showErrorMessage="1" sqref="E3:E62" xr:uid="{00000000-0002-0000-0800-000000000000}">
      <formula1>Fédérations</formula1>
    </dataValidation>
    <dataValidation type="list" allowBlank="1" showInputMessage="1" showErrorMessage="1" sqref="B3:B62" xr:uid="{00000000-0002-0000-0800-000001000000}">
      <formula1>Rang</formula1>
    </dataValidation>
  </dataValidations>
  <pageMargins left="0.7" right="0.7" top="0.75" bottom="0.75" header="0.3" footer="0.3"/>
  <pageSetup paperSize="9" scale="70" fitToHeight="0" orientation="landscape" r:id="rId1"/>
  <headerFooter>
    <oddHeader>&amp;C&amp;"Arial Black"&amp;20Grand prix Oyeu-Burcin 2026</oddHeader>
    <oddFooter>&amp;C&amp;"Arial"&amp;G&amp;12AB =&gt; abandon        NC =&gt; non classé, arrivée en peloton        NP =&gt; non partant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8">
    <tabColor theme="5" tint="0.39997558519241921"/>
    <pageSetUpPr fitToPage="1"/>
  </sheetPr>
  <dimension ref="A1:J62"/>
  <sheetViews>
    <sheetView showGridLines="0" showRowColHeaders="0" workbookViewId="0"/>
  </sheetViews>
  <sheetFormatPr baseColWidth="10" defaultColWidth="11.3984375" defaultRowHeight="12.75" x14ac:dyDescent="0.35"/>
  <cols>
    <col min="1" max="1" width="7.59765625" style="8" customWidth="1"/>
    <col min="2" max="2" width="14.1328125" style="8" bestFit="1" customWidth="1"/>
    <col min="3" max="3" width="10.59765625" style="9" bestFit="1" customWidth="1"/>
    <col min="4" max="4" width="16.1328125" style="24" customWidth="1"/>
    <col min="5" max="5" width="13" style="8" bestFit="1" customWidth="1"/>
    <col min="6" max="6" width="15.265625" style="8" bestFit="1" customWidth="1"/>
    <col min="7" max="8" width="22.73046875" style="7" customWidth="1"/>
    <col min="9" max="9" width="47.73046875" style="7" customWidth="1"/>
    <col min="10" max="10" width="20.73046875" style="8" customWidth="1"/>
    <col min="11" max="16384" width="11.3984375" style="9"/>
  </cols>
  <sheetData>
    <row r="1" spans="1:10" s="29" customFormat="1" ht="91.9" customHeight="1" thickBot="1" x14ac:dyDescent="0.4">
      <c r="A1" s="28"/>
      <c r="B1" s="25" t="s">
        <v>164</v>
      </c>
      <c r="C1" s="26">
        <f>COUNTA(G3:G62)-COUNTIF(B3:B62,"NP")</f>
        <v>1</v>
      </c>
      <c r="D1" s="126"/>
      <c r="E1" s="126"/>
      <c r="F1" s="126"/>
      <c r="G1" s="126"/>
      <c r="H1" s="126"/>
      <c r="I1" s="27"/>
      <c r="J1" s="28"/>
    </row>
    <row r="2" spans="1:10" s="34" customFormat="1" ht="24.95" customHeight="1" x14ac:dyDescent="0.35">
      <c r="A2" s="73" t="s">
        <v>193</v>
      </c>
      <c r="B2" s="30" t="s">
        <v>143</v>
      </c>
      <c r="C2" s="31" t="s">
        <v>140</v>
      </c>
      <c r="D2" s="32" t="s">
        <v>141</v>
      </c>
      <c r="E2" s="31" t="s">
        <v>144</v>
      </c>
      <c r="F2" s="31" t="s">
        <v>145</v>
      </c>
      <c r="G2" s="66" t="s">
        <v>142</v>
      </c>
      <c r="H2" s="31" t="s">
        <v>192</v>
      </c>
      <c r="I2" s="31" t="s">
        <v>1</v>
      </c>
      <c r="J2" s="33" t="s">
        <v>153</v>
      </c>
    </row>
    <row r="3" spans="1:10" ht="24.95" customHeight="1" x14ac:dyDescent="0.35">
      <c r="A3" s="70"/>
      <c r="B3" s="55">
        <v>1</v>
      </c>
      <c r="C3" s="10">
        <v>31</v>
      </c>
      <c r="D3" s="18" t="s">
        <v>649</v>
      </c>
      <c r="E3" s="12"/>
      <c r="F3" s="13"/>
      <c r="G3" s="15" t="s">
        <v>648</v>
      </c>
      <c r="H3" s="14"/>
      <c r="I3" s="14" t="s">
        <v>563</v>
      </c>
      <c r="J3" s="51"/>
    </row>
    <row r="4" spans="1:10" ht="24.95" customHeight="1" x14ac:dyDescent="0.35">
      <c r="A4" s="69"/>
      <c r="B4" s="55"/>
      <c r="C4" s="10"/>
      <c r="D4" s="11"/>
      <c r="E4" s="12"/>
      <c r="F4" s="13"/>
      <c r="G4" s="15"/>
      <c r="H4" s="15"/>
      <c r="I4" s="15"/>
      <c r="J4" s="52"/>
    </row>
    <row r="5" spans="1:10" ht="24.95" customHeight="1" x14ac:dyDescent="0.35">
      <c r="A5" s="69"/>
      <c r="B5" s="55"/>
      <c r="C5" s="10"/>
      <c r="D5" s="11"/>
      <c r="E5" s="12"/>
      <c r="F5" s="13"/>
      <c r="G5" s="15"/>
      <c r="H5" s="14"/>
      <c r="I5" s="15"/>
      <c r="J5" s="51"/>
    </row>
    <row r="6" spans="1:10" ht="24.95" customHeight="1" x14ac:dyDescent="0.35">
      <c r="A6" s="69"/>
      <c r="B6" s="55"/>
      <c r="C6" s="10"/>
      <c r="D6" s="11"/>
      <c r="E6" s="12"/>
      <c r="F6" s="13"/>
      <c r="G6" s="15"/>
      <c r="H6" s="16"/>
      <c r="I6" s="16"/>
      <c r="J6" s="52"/>
    </row>
    <row r="7" spans="1:10" ht="24.95" customHeight="1" x14ac:dyDescent="0.35">
      <c r="A7" s="69"/>
      <c r="B7" s="55"/>
      <c r="C7" s="10"/>
      <c r="D7" s="11"/>
      <c r="E7" s="12"/>
      <c r="F7" s="13"/>
      <c r="G7" s="15"/>
      <c r="H7" s="15"/>
      <c r="I7" s="15"/>
      <c r="J7" s="53"/>
    </row>
    <row r="8" spans="1:10" ht="24.95" customHeight="1" x14ac:dyDescent="0.35">
      <c r="A8" s="69"/>
      <c r="B8" s="55"/>
      <c r="C8" s="10"/>
      <c r="D8" s="11"/>
      <c r="E8" s="12"/>
      <c r="F8" s="13"/>
      <c r="G8" s="15"/>
      <c r="H8" s="15"/>
      <c r="I8" s="15"/>
      <c r="J8" s="53"/>
    </row>
    <row r="9" spans="1:10" ht="24.95" customHeight="1" x14ac:dyDescent="0.35">
      <c r="A9" s="69"/>
      <c r="B9" s="55"/>
      <c r="C9" s="10"/>
      <c r="D9" s="11"/>
      <c r="E9" s="12"/>
      <c r="F9" s="13"/>
      <c r="G9" s="16"/>
      <c r="H9" s="16"/>
      <c r="I9" s="16"/>
      <c r="J9" s="52"/>
    </row>
    <row r="10" spans="1:10" ht="24.95" customHeight="1" x14ac:dyDescent="0.35">
      <c r="A10" s="69"/>
      <c r="B10" s="55"/>
      <c r="C10" s="10"/>
      <c r="D10" s="11"/>
      <c r="E10" s="12"/>
      <c r="F10" s="13"/>
      <c r="G10" s="15"/>
      <c r="H10" s="15"/>
      <c r="I10" s="15"/>
      <c r="J10" s="52"/>
    </row>
    <row r="11" spans="1:10" ht="24.95" customHeight="1" x14ac:dyDescent="0.35">
      <c r="A11" s="69"/>
      <c r="B11" s="55"/>
      <c r="C11" s="10"/>
      <c r="D11" s="17"/>
      <c r="E11" s="12"/>
      <c r="F11" s="13"/>
      <c r="G11" s="15"/>
      <c r="H11" s="14"/>
      <c r="I11" s="14"/>
      <c r="J11" s="51"/>
    </row>
    <row r="12" spans="1:10" ht="24.95" customHeight="1" x14ac:dyDescent="0.35">
      <c r="A12" s="69"/>
      <c r="B12" s="55"/>
      <c r="C12" s="10"/>
      <c r="D12" s="11"/>
      <c r="E12" s="12"/>
      <c r="F12" s="13"/>
      <c r="G12" s="15"/>
      <c r="H12" s="15"/>
      <c r="I12" s="15"/>
      <c r="J12" s="53"/>
    </row>
    <row r="13" spans="1:10" ht="24.95" customHeight="1" x14ac:dyDescent="0.35">
      <c r="A13" s="69"/>
      <c r="B13" s="55"/>
      <c r="C13" s="10"/>
      <c r="D13" s="11"/>
      <c r="E13" s="12"/>
      <c r="F13" s="13"/>
      <c r="G13" s="15"/>
      <c r="H13" s="15"/>
      <c r="I13" s="15"/>
      <c r="J13" s="53"/>
    </row>
    <row r="14" spans="1:10" ht="24.95" customHeight="1" x14ac:dyDescent="0.35">
      <c r="A14" s="69"/>
      <c r="B14" s="55"/>
      <c r="C14" s="10"/>
      <c r="D14" s="11"/>
      <c r="E14" s="12"/>
      <c r="F14" s="13"/>
      <c r="G14" s="15"/>
      <c r="H14" s="15"/>
      <c r="I14" s="15"/>
      <c r="J14" s="53"/>
    </row>
    <row r="15" spans="1:10" ht="24.95" customHeight="1" x14ac:dyDescent="0.35">
      <c r="A15" s="69"/>
      <c r="B15" s="55"/>
      <c r="C15" s="10"/>
      <c r="D15" s="11"/>
      <c r="E15" s="12"/>
      <c r="F15" s="13"/>
      <c r="G15" s="15"/>
      <c r="H15" s="15"/>
      <c r="I15" s="15"/>
      <c r="J15" s="53"/>
    </row>
    <row r="16" spans="1:10" ht="24.95" customHeight="1" x14ac:dyDescent="0.35">
      <c r="A16" s="69"/>
      <c r="B16" s="55"/>
      <c r="C16" s="10"/>
      <c r="D16" s="11"/>
      <c r="E16" s="12"/>
      <c r="F16" s="13"/>
      <c r="G16" s="15"/>
      <c r="H16" s="15"/>
      <c r="I16" s="15"/>
      <c r="J16" s="53"/>
    </row>
    <row r="17" spans="1:10" ht="24.95" customHeight="1" x14ac:dyDescent="0.35">
      <c r="A17" s="69"/>
      <c r="B17" s="55"/>
      <c r="C17" s="10"/>
      <c r="D17" s="11"/>
      <c r="E17" s="12"/>
      <c r="F17" s="13"/>
      <c r="G17" s="15"/>
      <c r="H17" s="15"/>
      <c r="I17" s="15"/>
      <c r="J17" s="53"/>
    </row>
    <row r="18" spans="1:10" ht="24.95" customHeight="1" x14ac:dyDescent="0.35">
      <c r="A18" s="69"/>
      <c r="B18" s="55"/>
      <c r="C18" s="10"/>
      <c r="D18" s="11"/>
      <c r="E18" s="12"/>
      <c r="F18" s="13"/>
      <c r="G18" s="15"/>
      <c r="H18" s="15"/>
      <c r="I18" s="15"/>
      <c r="J18" s="53"/>
    </row>
    <row r="19" spans="1:10" ht="24.95" customHeight="1" x14ac:dyDescent="0.35">
      <c r="A19" s="69"/>
      <c r="B19" s="55"/>
      <c r="C19" s="10"/>
      <c r="D19" s="11"/>
      <c r="E19" s="12"/>
      <c r="F19" s="13"/>
      <c r="G19" s="15"/>
      <c r="H19" s="15"/>
      <c r="I19" s="15"/>
      <c r="J19" s="53"/>
    </row>
    <row r="20" spans="1:10" ht="24.95" customHeight="1" x14ac:dyDescent="0.35">
      <c r="A20" s="69"/>
      <c r="B20" s="55"/>
      <c r="C20" s="10"/>
      <c r="D20" s="11"/>
      <c r="E20" s="12"/>
      <c r="F20" s="13"/>
      <c r="G20" s="15"/>
      <c r="H20" s="15"/>
      <c r="I20" s="15"/>
      <c r="J20" s="53"/>
    </row>
    <row r="21" spans="1:10" ht="24.95" customHeight="1" x14ac:dyDescent="0.35">
      <c r="A21" s="67"/>
      <c r="B21" s="55"/>
      <c r="C21" s="10"/>
      <c r="D21" s="18"/>
      <c r="E21" s="12"/>
      <c r="F21" s="13"/>
      <c r="G21" s="15"/>
      <c r="H21" s="15"/>
      <c r="I21" s="15"/>
      <c r="J21" s="53"/>
    </row>
    <row r="22" spans="1:10" ht="24.95" customHeight="1" x14ac:dyDescent="0.35">
      <c r="A22" s="67"/>
      <c r="B22" s="55"/>
      <c r="C22" s="10"/>
      <c r="D22" s="18"/>
      <c r="E22" s="12"/>
      <c r="F22" s="13"/>
      <c r="G22" s="15"/>
      <c r="H22" s="15"/>
      <c r="I22" s="15"/>
      <c r="J22" s="53"/>
    </row>
    <row r="23" spans="1:10" ht="24.95" customHeight="1" x14ac:dyDescent="0.35">
      <c r="A23" s="67"/>
      <c r="B23" s="55"/>
      <c r="C23" s="10"/>
      <c r="D23" s="18"/>
      <c r="E23" s="12"/>
      <c r="F23" s="13"/>
      <c r="G23" s="15"/>
      <c r="H23" s="15"/>
      <c r="I23" s="15"/>
      <c r="J23" s="53"/>
    </row>
    <row r="24" spans="1:10" ht="24.95" customHeight="1" x14ac:dyDescent="0.35">
      <c r="A24" s="67"/>
      <c r="B24" s="55"/>
      <c r="C24" s="10"/>
      <c r="D24" s="18"/>
      <c r="E24" s="12"/>
      <c r="F24" s="13"/>
      <c r="G24" s="15"/>
      <c r="H24" s="15"/>
      <c r="I24" s="15"/>
      <c r="J24" s="53"/>
    </row>
    <row r="25" spans="1:10" ht="24.95" customHeight="1" x14ac:dyDescent="0.35">
      <c r="A25" s="67"/>
      <c r="B25" s="55"/>
      <c r="C25" s="10"/>
      <c r="D25" s="18"/>
      <c r="E25" s="12"/>
      <c r="F25" s="13"/>
      <c r="G25" s="15"/>
      <c r="H25" s="15"/>
      <c r="I25" s="15"/>
      <c r="J25" s="53"/>
    </row>
    <row r="26" spans="1:10" ht="24.95" customHeight="1" x14ac:dyDescent="0.35">
      <c r="A26" s="67"/>
      <c r="B26" s="55"/>
      <c r="C26" s="10"/>
      <c r="D26" s="18"/>
      <c r="E26" s="12"/>
      <c r="F26" s="13"/>
      <c r="G26" s="15"/>
      <c r="H26" s="15"/>
      <c r="I26" s="15"/>
      <c r="J26" s="53"/>
    </row>
    <row r="27" spans="1:10" ht="24.95" customHeight="1" x14ac:dyDescent="0.35">
      <c r="A27" s="67"/>
      <c r="B27" s="55"/>
      <c r="C27" s="10"/>
      <c r="D27" s="18"/>
      <c r="E27" s="12"/>
      <c r="F27" s="13"/>
      <c r="G27" s="15"/>
      <c r="H27" s="15"/>
      <c r="I27" s="15"/>
      <c r="J27" s="53"/>
    </row>
    <row r="28" spans="1:10" ht="24.95" customHeight="1" x14ac:dyDescent="0.35">
      <c r="A28" s="67"/>
      <c r="B28" s="55"/>
      <c r="C28" s="10"/>
      <c r="D28" s="18"/>
      <c r="E28" s="12"/>
      <c r="F28" s="13"/>
      <c r="G28" s="15"/>
      <c r="H28" s="15"/>
      <c r="I28" s="15"/>
      <c r="J28" s="53"/>
    </row>
    <row r="29" spans="1:10" ht="24.95" customHeight="1" x14ac:dyDescent="0.35">
      <c r="A29" s="67"/>
      <c r="B29" s="55"/>
      <c r="C29" s="10"/>
      <c r="D29" s="18"/>
      <c r="E29" s="12"/>
      <c r="F29" s="13"/>
      <c r="G29" s="15"/>
      <c r="H29" s="15"/>
      <c r="I29" s="15"/>
      <c r="J29" s="53"/>
    </row>
    <row r="30" spans="1:10" ht="24.95" customHeight="1" x14ac:dyDescent="0.35">
      <c r="A30" s="67"/>
      <c r="B30" s="55"/>
      <c r="C30" s="10"/>
      <c r="D30" s="18"/>
      <c r="E30" s="12"/>
      <c r="F30" s="13"/>
      <c r="G30" s="15"/>
      <c r="H30" s="15"/>
      <c r="I30" s="15"/>
      <c r="J30" s="53"/>
    </row>
    <row r="31" spans="1:10" ht="24.95" customHeight="1" x14ac:dyDescent="0.35">
      <c r="A31" s="67"/>
      <c r="B31" s="55"/>
      <c r="C31" s="10"/>
      <c r="D31" s="18"/>
      <c r="E31" s="12"/>
      <c r="F31" s="13"/>
      <c r="G31" s="15"/>
      <c r="H31" s="15"/>
      <c r="I31" s="15"/>
      <c r="J31" s="53"/>
    </row>
    <row r="32" spans="1:10" ht="24.95" customHeight="1" x14ac:dyDescent="0.35">
      <c r="A32" s="67"/>
      <c r="B32" s="55"/>
      <c r="C32" s="10"/>
      <c r="D32" s="18"/>
      <c r="E32" s="12"/>
      <c r="F32" s="13"/>
      <c r="G32" s="15"/>
      <c r="H32" s="15"/>
      <c r="I32" s="15"/>
      <c r="J32" s="53"/>
    </row>
    <row r="33" spans="1:10" ht="24.95" customHeight="1" x14ac:dyDescent="0.35">
      <c r="A33" s="67"/>
      <c r="B33" s="55"/>
      <c r="C33" s="10"/>
      <c r="D33" s="18"/>
      <c r="E33" s="12"/>
      <c r="F33" s="13"/>
      <c r="G33" s="15"/>
      <c r="H33" s="15"/>
      <c r="I33" s="15"/>
      <c r="J33" s="53"/>
    </row>
    <row r="34" spans="1:10" ht="24.95" customHeight="1" x14ac:dyDescent="0.35">
      <c r="A34" s="67"/>
      <c r="B34" s="55"/>
      <c r="C34" s="10"/>
      <c r="D34" s="18"/>
      <c r="E34" s="12"/>
      <c r="F34" s="13"/>
      <c r="G34" s="15"/>
      <c r="H34" s="15"/>
      <c r="I34" s="15"/>
      <c r="J34" s="53"/>
    </row>
    <row r="35" spans="1:10" ht="24.95" customHeight="1" x14ac:dyDescent="0.35">
      <c r="A35" s="67"/>
      <c r="B35" s="55"/>
      <c r="C35" s="10"/>
      <c r="D35" s="18"/>
      <c r="E35" s="12"/>
      <c r="F35" s="13"/>
      <c r="G35" s="15"/>
      <c r="H35" s="15"/>
      <c r="I35" s="15"/>
      <c r="J35" s="53"/>
    </row>
    <row r="36" spans="1:10" ht="24.95" customHeight="1" x14ac:dyDescent="0.35">
      <c r="A36" s="67"/>
      <c r="B36" s="55"/>
      <c r="C36" s="10"/>
      <c r="D36" s="18"/>
      <c r="E36" s="12"/>
      <c r="F36" s="13"/>
      <c r="G36" s="15"/>
      <c r="H36" s="15"/>
      <c r="I36" s="15"/>
      <c r="J36" s="53"/>
    </row>
    <row r="37" spans="1:10" ht="24.95" customHeight="1" x14ac:dyDescent="0.35">
      <c r="A37" s="67"/>
      <c r="B37" s="55"/>
      <c r="C37" s="10"/>
      <c r="D37" s="18"/>
      <c r="E37" s="12"/>
      <c r="F37" s="13"/>
      <c r="G37" s="15"/>
      <c r="H37" s="15"/>
      <c r="I37" s="15"/>
      <c r="J37" s="53"/>
    </row>
    <row r="38" spans="1:10" ht="24.95" customHeight="1" x14ac:dyDescent="0.35">
      <c r="A38" s="67"/>
      <c r="B38" s="55"/>
      <c r="C38" s="10"/>
      <c r="D38" s="18"/>
      <c r="E38" s="12"/>
      <c r="F38" s="13"/>
      <c r="G38" s="15"/>
      <c r="H38" s="15"/>
      <c r="I38" s="15"/>
      <c r="J38" s="53"/>
    </row>
    <row r="39" spans="1:10" ht="24.95" customHeight="1" x14ac:dyDescent="0.35">
      <c r="A39" s="67"/>
      <c r="B39" s="55"/>
      <c r="C39" s="10"/>
      <c r="D39" s="18"/>
      <c r="E39" s="12"/>
      <c r="F39" s="13"/>
      <c r="G39" s="15"/>
      <c r="H39" s="15"/>
      <c r="I39" s="15"/>
      <c r="J39" s="53"/>
    </row>
    <row r="40" spans="1:10" ht="24.95" customHeight="1" x14ac:dyDescent="0.35">
      <c r="A40" s="67"/>
      <c r="B40" s="55"/>
      <c r="C40" s="10"/>
      <c r="D40" s="18"/>
      <c r="E40" s="12"/>
      <c r="F40" s="13"/>
      <c r="G40" s="15"/>
      <c r="H40" s="15"/>
      <c r="I40" s="15"/>
      <c r="J40" s="53"/>
    </row>
    <row r="41" spans="1:10" ht="24.95" customHeight="1" x14ac:dyDescent="0.35">
      <c r="A41" s="67"/>
      <c r="B41" s="55"/>
      <c r="C41" s="10"/>
      <c r="D41" s="18"/>
      <c r="E41" s="12"/>
      <c r="F41" s="13"/>
      <c r="G41" s="15"/>
      <c r="H41" s="15"/>
      <c r="I41" s="15"/>
      <c r="J41" s="53"/>
    </row>
    <row r="42" spans="1:10" ht="24.95" customHeight="1" x14ac:dyDescent="0.35">
      <c r="A42" s="67"/>
      <c r="B42" s="55"/>
      <c r="C42" s="10"/>
      <c r="D42" s="18"/>
      <c r="E42" s="12"/>
      <c r="F42" s="13"/>
      <c r="G42" s="15"/>
      <c r="H42" s="15"/>
      <c r="I42" s="15"/>
      <c r="J42" s="53"/>
    </row>
    <row r="43" spans="1:10" ht="24.95" customHeight="1" x14ac:dyDescent="0.35">
      <c r="A43" s="67"/>
      <c r="B43" s="55"/>
      <c r="C43" s="10"/>
      <c r="D43" s="18"/>
      <c r="E43" s="12"/>
      <c r="F43" s="13"/>
      <c r="G43" s="15"/>
      <c r="H43" s="15"/>
      <c r="I43" s="15"/>
      <c r="J43" s="53"/>
    </row>
    <row r="44" spans="1:10" ht="24.95" customHeight="1" x14ac:dyDescent="0.35">
      <c r="A44" s="67"/>
      <c r="B44" s="55"/>
      <c r="C44" s="10"/>
      <c r="D44" s="18"/>
      <c r="E44" s="12"/>
      <c r="F44" s="13"/>
      <c r="G44" s="15"/>
      <c r="H44" s="15"/>
      <c r="I44" s="15"/>
      <c r="J44" s="53"/>
    </row>
    <row r="45" spans="1:10" ht="24.95" customHeight="1" x14ac:dyDescent="0.35">
      <c r="A45" s="67"/>
      <c r="B45" s="55"/>
      <c r="C45" s="10"/>
      <c r="D45" s="18"/>
      <c r="E45" s="12"/>
      <c r="F45" s="13"/>
      <c r="G45" s="15"/>
      <c r="H45" s="15"/>
      <c r="I45" s="15"/>
      <c r="J45" s="53"/>
    </row>
    <row r="46" spans="1:10" ht="24.95" customHeight="1" x14ac:dyDescent="0.35">
      <c r="A46" s="67"/>
      <c r="B46" s="55"/>
      <c r="C46" s="10"/>
      <c r="D46" s="18"/>
      <c r="E46" s="12"/>
      <c r="F46" s="13"/>
      <c r="G46" s="15"/>
      <c r="H46" s="15"/>
      <c r="I46" s="15"/>
      <c r="J46" s="53"/>
    </row>
    <row r="47" spans="1:10" ht="24.95" customHeight="1" x14ac:dyDescent="0.35">
      <c r="A47" s="67"/>
      <c r="B47" s="55"/>
      <c r="C47" s="10"/>
      <c r="D47" s="18"/>
      <c r="E47" s="12"/>
      <c r="F47" s="13"/>
      <c r="G47" s="15"/>
      <c r="H47" s="15"/>
      <c r="I47" s="15"/>
      <c r="J47" s="53"/>
    </row>
    <row r="48" spans="1:10" ht="24.95" customHeight="1" x14ac:dyDescent="0.35">
      <c r="A48" s="67"/>
      <c r="B48" s="55"/>
      <c r="C48" s="10"/>
      <c r="D48" s="18"/>
      <c r="E48" s="12"/>
      <c r="F48" s="13"/>
      <c r="G48" s="15"/>
      <c r="H48" s="15"/>
      <c r="I48" s="15"/>
      <c r="J48" s="53"/>
    </row>
    <row r="49" spans="1:10" ht="24.95" customHeight="1" x14ac:dyDescent="0.35">
      <c r="A49" s="67"/>
      <c r="B49" s="55"/>
      <c r="C49" s="10"/>
      <c r="D49" s="18"/>
      <c r="E49" s="12"/>
      <c r="F49" s="13"/>
      <c r="G49" s="15"/>
      <c r="H49" s="15"/>
      <c r="I49" s="15"/>
      <c r="J49" s="53"/>
    </row>
    <row r="50" spans="1:10" ht="24.95" customHeight="1" x14ac:dyDescent="0.35">
      <c r="A50" s="67"/>
      <c r="B50" s="55"/>
      <c r="C50" s="10"/>
      <c r="D50" s="18"/>
      <c r="E50" s="12"/>
      <c r="F50" s="13"/>
      <c r="G50" s="15"/>
      <c r="H50" s="15"/>
      <c r="I50" s="15"/>
      <c r="J50" s="53"/>
    </row>
    <row r="51" spans="1:10" ht="24.95" customHeight="1" x14ac:dyDescent="0.35">
      <c r="A51" s="67"/>
      <c r="B51" s="55"/>
      <c r="C51" s="10"/>
      <c r="D51" s="18"/>
      <c r="E51" s="12"/>
      <c r="F51" s="13"/>
      <c r="G51" s="15"/>
      <c r="H51" s="15"/>
      <c r="I51" s="15"/>
      <c r="J51" s="53"/>
    </row>
    <row r="52" spans="1:10" ht="24.95" customHeight="1" x14ac:dyDescent="0.35">
      <c r="A52" s="67"/>
      <c r="B52" s="55"/>
      <c r="C52" s="10"/>
      <c r="D52" s="18"/>
      <c r="E52" s="12"/>
      <c r="F52" s="13"/>
      <c r="G52" s="15"/>
      <c r="H52" s="15"/>
      <c r="I52" s="15"/>
      <c r="J52" s="53"/>
    </row>
    <row r="53" spans="1:10" ht="24.95" customHeight="1" x14ac:dyDescent="0.35">
      <c r="A53" s="67"/>
      <c r="B53" s="55"/>
      <c r="C53" s="10"/>
      <c r="D53" s="18"/>
      <c r="E53" s="12"/>
      <c r="F53" s="13"/>
      <c r="G53" s="15"/>
      <c r="H53" s="15"/>
      <c r="I53" s="15"/>
      <c r="J53" s="53"/>
    </row>
    <row r="54" spans="1:10" ht="24.95" customHeight="1" x14ac:dyDescent="0.35">
      <c r="A54" s="67"/>
      <c r="B54" s="55"/>
      <c r="C54" s="10"/>
      <c r="D54" s="18"/>
      <c r="E54" s="12"/>
      <c r="F54" s="13"/>
      <c r="G54" s="15"/>
      <c r="H54" s="15"/>
      <c r="I54" s="15"/>
      <c r="J54" s="53"/>
    </row>
    <row r="55" spans="1:10" ht="24.95" customHeight="1" x14ac:dyDescent="0.35">
      <c r="A55" s="67"/>
      <c r="B55" s="55"/>
      <c r="C55" s="10"/>
      <c r="D55" s="18"/>
      <c r="E55" s="12"/>
      <c r="F55" s="13"/>
      <c r="G55" s="15"/>
      <c r="H55" s="15"/>
      <c r="I55" s="15"/>
      <c r="J55" s="53"/>
    </row>
    <row r="56" spans="1:10" ht="24.95" customHeight="1" x14ac:dyDescent="0.35">
      <c r="A56" s="67"/>
      <c r="B56" s="55"/>
      <c r="C56" s="10"/>
      <c r="D56" s="18"/>
      <c r="E56" s="12"/>
      <c r="F56" s="13"/>
      <c r="G56" s="15"/>
      <c r="H56" s="15"/>
      <c r="I56" s="15"/>
      <c r="J56" s="53"/>
    </row>
    <row r="57" spans="1:10" ht="24.95" customHeight="1" x14ac:dyDescent="0.35">
      <c r="A57" s="67"/>
      <c r="B57" s="55"/>
      <c r="C57" s="10"/>
      <c r="D57" s="11"/>
      <c r="E57" s="12"/>
      <c r="F57" s="13"/>
      <c r="G57" s="15"/>
      <c r="H57" s="15"/>
      <c r="I57" s="15"/>
      <c r="J57" s="53"/>
    </row>
    <row r="58" spans="1:10" ht="24.95" customHeight="1" x14ac:dyDescent="0.35">
      <c r="A58" s="67"/>
      <c r="B58" s="55"/>
      <c r="C58" s="10"/>
      <c r="D58" s="18"/>
      <c r="E58" s="12"/>
      <c r="F58" s="13"/>
      <c r="G58" s="15"/>
      <c r="H58" s="15"/>
      <c r="I58" s="15"/>
      <c r="J58" s="53"/>
    </row>
    <row r="59" spans="1:10" ht="24.95" customHeight="1" x14ac:dyDescent="0.35">
      <c r="A59" s="67"/>
      <c r="B59" s="55"/>
      <c r="C59" s="10"/>
      <c r="D59" s="18"/>
      <c r="E59" s="12"/>
      <c r="F59" s="13"/>
      <c r="G59" s="15"/>
      <c r="H59" s="15"/>
      <c r="I59" s="15"/>
      <c r="J59" s="53"/>
    </row>
    <row r="60" spans="1:10" ht="24.95" customHeight="1" x14ac:dyDescent="0.35">
      <c r="A60" s="67"/>
      <c r="B60" s="55"/>
      <c r="C60" s="10"/>
      <c r="D60" s="18"/>
      <c r="E60" s="12"/>
      <c r="F60" s="13"/>
      <c r="G60" s="15"/>
      <c r="H60" s="15"/>
      <c r="I60" s="15"/>
      <c r="J60" s="53"/>
    </row>
    <row r="61" spans="1:10" ht="24.95" customHeight="1" x14ac:dyDescent="0.35">
      <c r="A61" s="67"/>
      <c r="B61" s="55"/>
      <c r="C61" s="10"/>
      <c r="D61" s="18"/>
      <c r="E61" s="12"/>
      <c r="F61" s="13"/>
      <c r="G61" s="15"/>
      <c r="H61" s="15"/>
      <c r="I61" s="15"/>
      <c r="J61" s="53"/>
    </row>
    <row r="62" spans="1:10" ht="24.95" customHeight="1" thickBot="1" x14ac:dyDescent="0.4">
      <c r="A62" s="68"/>
      <c r="B62" s="72"/>
      <c r="C62" s="19"/>
      <c r="D62" s="20"/>
      <c r="E62" s="21"/>
      <c r="F62" s="22"/>
      <c r="G62" s="23"/>
      <c r="H62" s="23"/>
      <c r="I62" s="23"/>
      <c r="J62" s="54"/>
    </row>
  </sheetData>
  <sheetProtection sheet="1" objects="1" scenarios="1"/>
  <mergeCells count="1">
    <mergeCell ref="D1:H1"/>
  </mergeCells>
  <conditionalFormatting sqref="C3:C62">
    <cfRule type="expression" dxfId="1" priority="1">
      <formula>$A3&lt;&gt;""</formula>
    </cfRule>
  </conditionalFormatting>
  <dataValidations count="2">
    <dataValidation type="list" allowBlank="1" showInputMessage="1" showErrorMessage="1" sqref="E3:E62" xr:uid="{00000000-0002-0000-0900-000000000000}">
      <formula1>Fédérations</formula1>
    </dataValidation>
    <dataValidation type="list" allowBlank="1" showInputMessage="1" showErrorMessage="1" sqref="B3:B62" xr:uid="{00000000-0002-0000-0900-000001000000}">
      <formula1>Rang</formula1>
    </dataValidation>
  </dataValidations>
  <pageMargins left="0.7" right="0.7" top="0.75" bottom="0.75" header="0.3" footer="0.3"/>
  <pageSetup paperSize="9" scale="70" fitToHeight="0" orientation="landscape" horizontalDpi="4294967293" r:id="rId1"/>
  <headerFooter>
    <oddHeader>&amp;C&amp;"Arial Black"&amp;20Grand prix Oyeu-Burcin 2026</oddHeader>
    <oddFooter>&amp;C&amp;"Arial"&amp;G&amp;12AB =&gt; abandon        NC =&gt; non classé, arrivée en peloton        NP =&gt; non partant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9">
    <tabColor theme="5" tint="0.39997558519241921"/>
  </sheetPr>
  <dimension ref="A1:J62"/>
  <sheetViews>
    <sheetView showGridLines="0" showRowColHeaders="0" workbookViewId="0">
      <selection activeCell="C3" sqref="C3"/>
    </sheetView>
  </sheetViews>
  <sheetFormatPr baseColWidth="10" defaultColWidth="11.3984375" defaultRowHeight="12.75" x14ac:dyDescent="0.35"/>
  <cols>
    <col min="1" max="1" width="7.59765625" style="8" customWidth="1"/>
    <col min="2" max="2" width="14.1328125" style="8" bestFit="1" customWidth="1"/>
    <col min="3" max="3" width="10.59765625" style="9" bestFit="1" customWidth="1"/>
    <col min="4" max="4" width="16.1328125" style="24" customWidth="1"/>
    <col min="5" max="5" width="13" style="8" bestFit="1" customWidth="1"/>
    <col min="6" max="6" width="15.265625" style="8" bestFit="1" customWidth="1"/>
    <col min="7" max="8" width="22.73046875" style="7" customWidth="1"/>
    <col min="9" max="9" width="47.73046875" style="7" customWidth="1"/>
    <col min="10" max="10" width="20.73046875" style="8" customWidth="1"/>
    <col min="11" max="16384" width="11.3984375" style="9"/>
  </cols>
  <sheetData>
    <row r="1" spans="1:10" s="29" customFormat="1" ht="91.9" customHeight="1" thickBot="1" x14ac:dyDescent="0.4">
      <c r="A1" s="28"/>
      <c r="B1" s="25" t="s">
        <v>164</v>
      </c>
      <c r="C1" s="26">
        <f>COUNTA(G3:G62)-COUNTIF(B3:B62,"NP")</f>
        <v>0</v>
      </c>
      <c r="D1" s="126"/>
      <c r="E1" s="126"/>
      <c r="F1" s="126"/>
      <c r="G1" s="126"/>
      <c r="H1" s="126"/>
      <c r="I1" s="27"/>
      <c r="J1" s="28"/>
    </row>
    <row r="2" spans="1:10" s="34" customFormat="1" ht="24.95" customHeight="1" x14ac:dyDescent="0.35">
      <c r="A2" s="73" t="s">
        <v>193</v>
      </c>
      <c r="B2" s="30" t="s">
        <v>143</v>
      </c>
      <c r="C2" s="31" t="s">
        <v>140</v>
      </c>
      <c r="D2" s="32" t="s">
        <v>141</v>
      </c>
      <c r="E2" s="31" t="s">
        <v>144</v>
      </c>
      <c r="F2" s="31" t="s">
        <v>145</v>
      </c>
      <c r="G2" s="66" t="s">
        <v>142</v>
      </c>
      <c r="H2" s="31" t="s">
        <v>192</v>
      </c>
      <c r="I2" s="31" t="s">
        <v>1</v>
      </c>
      <c r="J2" s="33" t="s">
        <v>153</v>
      </c>
    </row>
    <row r="3" spans="1:10" ht="24.95" customHeight="1" x14ac:dyDescent="0.35">
      <c r="A3" s="70"/>
      <c r="B3" s="55"/>
      <c r="C3" s="10"/>
      <c r="D3" s="18"/>
      <c r="E3" s="12"/>
      <c r="F3" s="13"/>
      <c r="G3" s="15"/>
      <c r="H3" s="14"/>
      <c r="I3" s="14"/>
      <c r="J3" s="51"/>
    </row>
    <row r="4" spans="1:10" ht="24.95" customHeight="1" x14ac:dyDescent="0.35">
      <c r="A4" s="69"/>
      <c r="B4" s="55"/>
      <c r="C4" s="10"/>
      <c r="D4" s="11"/>
      <c r="E4" s="12"/>
      <c r="F4" s="13"/>
      <c r="G4" s="15"/>
      <c r="H4" s="15"/>
      <c r="I4" s="15"/>
      <c r="J4" s="52"/>
    </row>
    <row r="5" spans="1:10" ht="24.95" customHeight="1" x14ac:dyDescent="0.35">
      <c r="A5" s="69"/>
      <c r="B5" s="55"/>
      <c r="C5" s="10"/>
      <c r="D5" s="11"/>
      <c r="E5" s="12"/>
      <c r="F5" s="13"/>
      <c r="G5" s="15"/>
      <c r="H5" s="14"/>
      <c r="I5" s="15"/>
      <c r="J5" s="51"/>
    </row>
    <row r="6" spans="1:10" ht="24.95" customHeight="1" x14ac:dyDescent="0.35">
      <c r="A6" s="69"/>
      <c r="B6" s="55"/>
      <c r="C6" s="10"/>
      <c r="D6" s="11"/>
      <c r="E6" s="12"/>
      <c r="F6" s="13"/>
      <c r="G6" s="15"/>
      <c r="H6" s="16"/>
      <c r="I6" s="16"/>
      <c r="J6" s="52"/>
    </row>
    <row r="7" spans="1:10" ht="24.95" customHeight="1" x14ac:dyDescent="0.35">
      <c r="A7" s="69"/>
      <c r="B7" s="55"/>
      <c r="C7" s="10"/>
      <c r="D7" s="11"/>
      <c r="E7" s="12"/>
      <c r="F7" s="13"/>
      <c r="G7" s="15"/>
      <c r="H7" s="15"/>
      <c r="I7" s="15"/>
      <c r="J7" s="53"/>
    </row>
    <row r="8" spans="1:10" ht="24.95" customHeight="1" x14ac:dyDescent="0.35">
      <c r="A8" s="69"/>
      <c r="B8" s="55"/>
      <c r="C8" s="10"/>
      <c r="D8" s="11"/>
      <c r="E8" s="12"/>
      <c r="F8" s="13"/>
      <c r="G8" s="15"/>
      <c r="H8" s="15"/>
      <c r="I8" s="15"/>
      <c r="J8" s="53"/>
    </row>
    <row r="9" spans="1:10" ht="24.95" customHeight="1" x14ac:dyDescent="0.35">
      <c r="A9" s="69"/>
      <c r="B9" s="55"/>
      <c r="C9" s="10"/>
      <c r="D9" s="11"/>
      <c r="E9" s="12"/>
      <c r="F9" s="13"/>
      <c r="G9" s="16"/>
      <c r="H9" s="16"/>
      <c r="I9" s="16"/>
      <c r="J9" s="52"/>
    </row>
    <row r="10" spans="1:10" ht="24.95" customHeight="1" x14ac:dyDescent="0.35">
      <c r="A10" s="69"/>
      <c r="B10" s="55"/>
      <c r="C10" s="10"/>
      <c r="D10" s="11"/>
      <c r="E10" s="12"/>
      <c r="F10" s="13"/>
      <c r="G10" s="15"/>
      <c r="H10" s="15"/>
      <c r="I10" s="15"/>
      <c r="J10" s="52"/>
    </row>
    <row r="11" spans="1:10" ht="24.95" customHeight="1" x14ac:dyDescent="0.35">
      <c r="A11" s="69"/>
      <c r="B11" s="55"/>
      <c r="C11" s="10"/>
      <c r="D11" s="17"/>
      <c r="E11" s="12"/>
      <c r="F11" s="13"/>
      <c r="G11" s="15"/>
      <c r="H11" s="14"/>
      <c r="I11" s="14"/>
      <c r="J11" s="51"/>
    </row>
    <row r="12" spans="1:10" ht="24.95" customHeight="1" x14ac:dyDescent="0.35">
      <c r="A12" s="69"/>
      <c r="B12" s="55"/>
      <c r="C12" s="10"/>
      <c r="D12" s="11"/>
      <c r="E12" s="12"/>
      <c r="F12" s="13"/>
      <c r="G12" s="15"/>
      <c r="H12" s="15"/>
      <c r="I12" s="15"/>
      <c r="J12" s="53"/>
    </row>
    <row r="13" spans="1:10" ht="24.95" customHeight="1" x14ac:dyDescent="0.35">
      <c r="A13" s="69"/>
      <c r="B13" s="55"/>
      <c r="C13" s="10"/>
      <c r="D13" s="11"/>
      <c r="E13" s="12"/>
      <c r="F13" s="13"/>
      <c r="G13" s="15"/>
      <c r="H13" s="15"/>
      <c r="I13" s="15"/>
      <c r="J13" s="53"/>
    </row>
    <row r="14" spans="1:10" ht="24.95" customHeight="1" x14ac:dyDescent="0.35">
      <c r="A14" s="69"/>
      <c r="B14" s="55"/>
      <c r="C14" s="10"/>
      <c r="D14" s="11"/>
      <c r="E14" s="12"/>
      <c r="F14" s="13"/>
      <c r="G14" s="15"/>
      <c r="H14" s="15"/>
      <c r="I14" s="15"/>
      <c r="J14" s="53"/>
    </row>
    <row r="15" spans="1:10" ht="24.95" customHeight="1" x14ac:dyDescent="0.35">
      <c r="A15" s="69"/>
      <c r="B15" s="55"/>
      <c r="C15" s="10"/>
      <c r="D15" s="11"/>
      <c r="E15" s="12"/>
      <c r="F15" s="13"/>
      <c r="G15" s="15"/>
      <c r="H15" s="15"/>
      <c r="I15" s="15"/>
      <c r="J15" s="53"/>
    </row>
    <row r="16" spans="1:10" ht="24.95" customHeight="1" x14ac:dyDescent="0.35">
      <c r="A16" s="69"/>
      <c r="B16" s="55"/>
      <c r="C16" s="10"/>
      <c r="D16" s="11"/>
      <c r="E16" s="12"/>
      <c r="F16" s="13"/>
      <c r="G16" s="15"/>
      <c r="H16" s="15"/>
      <c r="I16" s="15"/>
      <c r="J16" s="53"/>
    </row>
    <row r="17" spans="1:10" ht="24.95" customHeight="1" x14ac:dyDescent="0.35">
      <c r="A17" s="69"/>
      <c r="B17" s="55"/>
      <c r="C17" s="10"/>
      <c r="D17" s="11"/>
      <c r="E17" s="12"/>
      <c r="F17" s="13"/>
      <c r="G17" s="15"/>
      <c r="H17" s="15"/>
      <c r="I17" s="15"/>
      <c r="J17" s="53"/>
    </row>
    <row r="18" spans="1:10" ht="24.95" customHeight="1" x14ac:dyDescent="0.35">
      <c r="A18" s="69"/>
      <c r="B18" s="55"/>
      <c r="C18" s="10"/>
      <c r="D18" s="11"/>
      <c r="E18" s="12"/>
      <c r="F18" s="13"/>
      <c r="G18" s="15"/>
      <c r="H18" s="15"/>
      <c r="I18" s="15"/>
      <c r="J18" s="53"/>
    </row>
    <row r="19" spans="1:10" ht="24.95" customHeight="1" x14ac:dyDescent="0.35">
      <c r="A19" s="69"/>
      <c r="B19" s="55"/>
      <c r="C19" s="10"/>
      <c r="D19" s="11"/>
      <c r="E19" s="12"/>
      <c r="F19" s="13"/>
      <c r="G19" s="15"/>
      <c r="H19" s="15"/>
      <c r="I19" s="15"/>
      <c r="J19" s="53"/>
    </row>
    <row r="20" spans="1:10" ht="24.95" customHeight="1" x14ac:dyDescent="0.35">
      <c r="A20" s="69"/>
      <c r="B20" s="55"/>
      <c r="C20" s="10"/>
      <c r="D20" s="11"/>
      <c r="E20" s="12"/>
      <c r="F20" s="13"/>
      <c r="G20" s="15"/>
      <c r="H20" s="15"/>
      <c r="I20" s="15"/>
      <c r="J20" s="53"/>
    </row>
    <row r="21" spans="1:10" ht="24.95" customHeight="1" x14ac:dyDescent="0.35">
      <c r="A21" s="67"/>
      <c r="B21" s="55"/>
      <c r="C21" s="10"/>
      <c r="D21" s="18"/>
      <c r="E21" s="12"/>
      <c r="F21" s="13"/>
      <c r="G21" s="15"/>
      <c r="H21" s="15"/>
      <c r="I21" s="15"/>
      <c r="J21" s="53"/>
    </row>
    <row r="22" spans="1:10" ht="24.95" customHeight="1" x14ac:dyDescent="0.35">
      <c r="A22" s="67"/>
      <c r="B22" s="55"/>
      <c r="C22" s="10"/>
      <c r="D22" s="18"/>
      <c r="E22" s="12"/>
      <c r="F22" s="13"/>
      <c r="G22" s="15"/>
      <c r="H22" s="15"/>
      <c r="I22" s="15"/>
      <c r="J22" s="53"/>
    </row>
    <row r="23" spans="1:10" ht="24.95" customHeight="1" x14ac:dyDescent="0.35">
      <c r="A23" s="67"/>
      <c r="B23" s="55"/>
      <c r="C23" s="10"/>
      <c r="D23" s="18"/>
      <c r="E23" s="12"/>
      <c r="F23" s="13"/>
      <c r="G23" s="15"/>
      <c r="H23" s="15"/>
      <c r="I23" s="15"/>
      <c r="J23" s="53"/>
    </row>
    <row r="24" spans="1:10" ht="24.95" customHeight="1" x14ac:dyDescent="0.35">
      <c r="A24" s="67"/>
      <c r="B24" s="55"/>
      <c r="C24" s="10"/>
      <c r="D24" s="18"/>
      <c r="E24" s="12"/>
      <c r="F24" s="13"/>
      <c r="G24" s="15"/>
      <c r="H24" s="15"/>
      <c r="I24" s="15"/>
      <c r="J24" s="53"/>
    </row>
    <row r="25" spans="1:10" ht="24.95" customHeight="1" x14ac:dyDescent="0.35">
      <c r="A25" s="67"/>
      <c r="B25" s="55"/>
      <c r="C25" s="10"/>
      <c r="D25" s="18"/>
      <c r="E25" s="12"/>
      <c r="F25" s="13"/>
      <c r="G25" s="15"/>
      <c r="H25" s="15"/>
      <c r="I25" s="15"/>
      <c r="J25" s="53"/>
    </row>
    <row r="26" spans="1:10" ht="24.95" customHeight="1" x14ac:dyDescent="0.35">
      <c r="A26" s="67"/>
      <c r="B26" s="55"/>
      <c r="C26" s="10"/>
      <c r="D26" s="18"/>
      <c r="E26" s="12"/>
      <c r="F26" s="13"/>
      <c r="G26" s="15"/>
      <c r="H26" s="15"/>
      <c r="I26" s="15"/>
      <c r="J26" s="53"/>
    </row>
    <row r="27" spans="1:10" ht="24.95" customHeight="1" x14ac:dyDescent="0.35">
      <c r="A27" s="67"/>
      <c r="B27" s="55"/>
      <c r="C27" s="10"/>
      <c r="D27" s="18"/>
      <c r="E27" s="12"/>
      <c r="F27" s="13"/>
      <c r="G27" s="15"/>
      <c r="H27" s="15"/>
      <c r="I27" s="15"/>
      <c r="J27" s="53"/>
    </row>
    <row r="28" spans="1:10" ht="24.95" customHeight="1" x14ac:dyDescent="0.35">
      <c r="A28" s="67"/>
      <c r="B28" s="55"/>
      <c r="C28" s="10"/>
      <c r="D28" s="18"/>
      <c r="E28" s="12"/>
      <c r="F28" s="13"/>
      <c r="G28" s="15"/>
      <c r="H28" s="15"/>
      <c r="I28" s="15"/>
      <c r="J28" s="53"/>
    </row>
    <row r="29" spans="1:10" ht="24.95" customHeight="1" x14ac:dyDescent="0.35">
      <c r="A29" s="67"/>
      <c r="B29" s="55"/>
      <c r="C29" s="10"/>
      <c r="D29" s="18"/>
      <c r="E29" s="12"/>
      <c r="F29" s="13"/>
      <c r="G29" s="15"/>
      <c r="H29" s="15"/>
      <c r="I29" s="15"/>
      <c r="J29" s="53"/>
    </row>
    <row r="30" spans="1:10" ht="24.95" customHeight="1" x14ac:dyDescent="0.35">
      <c r="A30" s="67"/>
      <c r="B30" s="55"/>
      <c r="C30" s="10"/>
      <c r="D30" s="18"/>
      <c r="E30" s="12"/>
      <c r="F30" s="13"/>
      <c r="G30" s="15"/>
      <c r="H30" s="15"/>
      <c r="I30" s="15"/>
      <c r="J30" s="53"/>
    </row>
    <row r="31" spans="1:10" ht="24.95" customHeight="1" x14ac:dyDescent="0.35">
      <c r="A31" s="67"/>
      <c r="B31" s="55"/>
      <c r="C31" s="10"/>
      <c r="D31" s="18"/>
      <c r="E31" s="12"/>
      <c r="F31" s="13"/>
      <c r="G31" s="15"/>
      <c r="H31" s="15"/>
      <c r="I31" s="15"/>
      <c r="J31" s="53"/>
    </row>
    <row r="32" spans="1:10" ht="24.95" customHeight="1" x14ac:dyDescent="0.35">
      <c r="A32" s="67"/>
      <c r="B32" s="55"/>
      <c r="C32" s="10"/>
      <c r="D32" s="18"/>
      <c r="E32" s="12"/>
      <c r="F32" s="13"/>
      <c r="G32" s="15"/>
      <c r="H32" s="15"/>
      <c r="I32" s="15"/>
      <c r="J32" s="53"/>
    </row>
    <row r="33" spans="1:10" ht="24.95" customHeight="1" x14ac:dyDescent="0.35">
      <c r="A33" s="67"/>
      <c r="B33" s="55"/>
      <c r="C33" s="10"/>
      <c r="D33" s="18"/>
      <c r="E33" s="12"/>
      <c r="F33" s="13"/>
      <c r="G33" s="15"/>
      <c r="H33" s="15"/>
      <c r="I33" s="15"/>
      <c r="J33" s="53"/>
    </row>
    <row r="34" spans="1:10" ht="24.95" customHeight="1" x14ac:dyDescent="0.35">
      <c r="A34" s="67"/>
      <c r="B34" s="55"/>
      <c r="C34" s="10"/>
      <c r="D34" s="18"/>
      <c r="E34" s="12"/>
      <c r="F34" s="13"/>
      <c r="G34" s="15"/>
      <c r="H34" s="15"/>
      <c r="I34" s="15"/>
      <c r="J34" s="53"/>
    </row>
    <row r="35" spans="1:10" ht="24.95" customHeight="1" x14ac:dyDescent="0.35">
      <c r="A35" s="67"/>
      <c r="B35" s="55"/>
      <c r="C35" s="10"/>
      <c r="D35" s="18"/>
      <c r="E35" s="12"/>
      <c r="F35" s="13"/>
      <c r="G35" s="15"/>
      <c r="H35" s="15"/>
      <c r="I35" s="15"/>
      <c r="J35" s="53"/>
    </row>
    <row r="36" spans="1:10" ht="24.95" customHeight="1" x14ac:dyDescent="0.35">
      <c r="A36" s="67"/>
      <c r="B36" s="55"/>
      <c r="C36" s="10"/>
      <c r="D36" s="18"/>
      <c r="E36" s="12"/>
      <c r="F36" s="13"/>
      <c r="G36" s="15"/>
      <c r="H36" s="15"/>
      <c r="I36" s="15"/>
      <c r="J36" s="53"/>
    </row>
    <row r="37" spans="1:10" ht="24.95" customHeight="1" x14ac:dyDescent="0.35">
      <c r="A37" s="67"/>
      <c r="B37" s="55"/>
      <c r="C37" s="10"/>
      <c r="D37" s="18"/>
      <c r="E37" s="12"/>
      <c r="F37" s="13"/>
      <c r="G37" s="15"/>
      <c r="H37" s="15"/>
      <c r="I37" s="15"/>
      <c r="J37" s="53"/>
    </row>
    <row r="38" spans="1:10" ht="24.95" customHeight="1" x14ac:dyDescent="0.35">
      <c r="A38" s="67"/>
      <c r="B38" s="55"/>
      <c r="C38" s="10"/>
      <c r="D38" s="18"/>
      <c r="E38" s="12"/>
      <c r="F38" s="13"/>
      <c r="G38" s="15"/>
      <c r="H38" s="15"/>
      <c r="I38" s="15"/>
      <c r="J38" s="53"/>
    </row>
    <row r="39" spans="1:10" ht="24.95" customHeight="1" x14ac:dyDescent="0.35">
      <c r="A39" s="67"/>
      <c r="B39" s="55"/>
      <c r="C39" s="10"/>
      <c r="D39" s="18"/>
      <c r="E39" s="12"/>
      <c r="F39" s="13"/>
      <c r="G39" s="15"/>
      <c r="H39" s="15"/>
      <c r="I39" s="15"/>
      <c r="J39" s="53"/>
    </row>
    <row r="40" spans="1:10" ht="24.95" customHeight="1" x14ac:dyDescent="0.35">
      <c r="A40" s="67"/>
      <c r="B40" s="55"/>
      <c r="C40" s="10"/>
      <c r="D40" s="18"/>
      <c r="E40" s="12"/>
      <c r="F40" s="13"/>
      <c r="G40" s="15"/>
      <c r="H40" s="15"/>
      <c r="I40" s="15"/>
      <c r="J40" s="53"/>
    </row>
    <row r="41" spans="1:10" ht="24.95" customHeight="1" x14ac:dyDescent="0.35">
      <c r="A41" s="67"/>
      <c r="B41" s="55"/>
      <c r="C41" s="10"/>
      <c r="D41" s="18"/>
      <c r="E41" s="12"/>
      <c r="F41" s="13"/>
      <c r="G41" s="15"/>
      <c r="H41" s="15"/>
      <c r="I41" s="15"/>
      <c r="J41" s="53"/>
    </row>
    <row r="42" spans="1:10" ht="24.95" customHeight="1" x14ac:dyDescent="0.35">
      <c r="A42" s="67"/>
      <c r="B42" s="55"/>
      <c r="C42" s="10"/>
      <c r="D42" s="18"/>
      <c r="E42" s="12"/>
      <c r="F42" s="13"/>
      <c r="G42" s="15"/>
      <c r="H42" s="15"/>
      <c r="I42" s="15"/>
      <c r="J42" s="53"/>
    </row>
    <row r="43" spans="1:10" ht="24.95" customHeight="1" x14ac:dyDescent="0.35">
      <c r="A43" s="67"/>
      <c r="B43" s="55"/>
      <c r="C43" s="10"/>
      <c r="D43" s="18"/>
      <c r="E43" s="12"/>
      <c r="F43" s="13"/>
      <c r="G43" s="15"/>
      <c r="H43" s="15"/>
      <c r="I43" s="15"/>
      <c r="J43" s="53"/>
    </row>
    <row r="44" spans="1:10" ht="24.95" customHeight="1" x14ac:dyDescent="0.35">
      <c r="A44" s="67"/>
      <c r="B44" s="55"/>
      <c r="C44" s="10"/>
      <c r="D44" s="18"/>
      <c r="E44" s="12"/>
      <c r="F44" s="13"/>
      <c r="G44" s="15"/>
      <c r="H44" s="15"/>
      <c r="I44" s="15"/>
      <c r="J44" s="53"/>
    </row>
    <row r="45" spans="1:10" ht="24.95" customHeight="1" x14ac:dyDescent="0.35">
      <c r="A45" s="67"/>
      <c r="B45" s="55"/>
      <c r="C45" s="10"/>
      <c r="D45" s="18"/>
      <c r="E45" s="12"/>
      <c r="F45" s="13"/>
      <c r="G45" s="15"/>
      <c r="H45" s="15"/>
      <c r="I45" s="15"/>
      <c r="J45" s="53"/>
    </row>
    <row r="46" spans="1:10" ht="24.95" customHeight="1" x14ac:dyDescent="0.35">
      <c r="A46" s="67"/>
      <c r="B46" s="55"/>
      <c r="C46" s="10"/>
      <c r="D46" s="18"/>
      <c r="E46" s="12"/>
      <c r="F46" s="13"/>
      <c r="G46" s="15"/>
      <c r="H46" s="15"/>
      <c r="I46" s="15"/>
      <c r="J46" s="53"/>
    </row>
    <row r="47" spans="1:10" ht="24.95" customHeight="1" x14ac:dyDescent="0.35">
      <c r="A47" s="67"/>
      <c r="B47" s="55"/>
      <c r="C47" s="10"/>
      <c r="D47" s="18"/>
      <c r="E47" s="12"/>
      <c r="F47" s="13"/>
      <c r="G47" s="15"/>
      <c r="H47" s="15"/>
      <c r="I47" s="15"/>
      <c r="J47" s="53"/>
    </row>
    <row r="48" spans="1:10" ht="24.95" customHeight="1" x14ac:dyDescent="0.35">
      <c r="A48" s="67"/>
      <c r="B48" s="55"/>
      <c r="C48" s="10"/>
      <c r="D48" s="18"/>
      <c r="E48" s="12"/>
      <c r="F48" s="13"/>
      <c r="G48" s="15"/>
      <c r="H48" s="15"/>
      <c r="I48" s="15"/>
      <c r="J48" s="53"/>
    </row>
    <row r="49" spans="1:10" ht="24.95" customHeight="1" x14ac:dyDescent="0.35">
      <c r="A49" s="67"/>
      <c r="B49" s="55"/>
      <c r="C49" s="10"/>
      <c r="D49" s="18"/>
      <c r="E49" s="12"/>
      <c r="F49" s="13"/>
      <c r="G49" s="15"/>
      <c r="H49" s="15"/>
      <c r="I49" s="15"/>
      <c r="J49" s="53"/>
    </row>
    <row r="50" spans="1:10" ht="24.95" customHeight="1" x14ac:dyDescent="0.35">
      <c r="A50" s="67"/>
      <c r="B50" s="55"/>
      <c r="C50" s="10"/>
      <c r="D50" s="18"/>
      <c r="E50" s="12"/>
      <c r="F50" s="13"/>
      <c r="G50" s="15"/>
      <c r="H50" s="15"/>
      <c r="I50" s="15"/>
      <c r="J50" s="53"/>
    </row>
    <row r="51" spans="1:10" ht="24.95" customHeight="1" x14ac:dyDescent="0.35">
      <c r="A51" s="67"/>
      <c r="B51" s="55"/>
      <c r="C51" s="10"/>
      <c r="D51" s="18"/>
      <c r="E51" s="12"/>
      <c r="F51" s="13"/>
      <c r="G51" s="15"/>
      <c r="H51" s="15"/>
      <c r="I51" s="15"/>
      <c r="J51" s="53"/>
    </row>
    <row r="52" spans="1:10" ht="24.95" customHeight="1" x14ac:dyDescent="0.35">
      <c r="A52" s="67"/>
      <c r="B52" s="55"/>
      <c r="C52" s="10"/>
      <c r="D52" s="18"/>
      <c r="E52" s="12"/>
      <c r="F52" s="13"/>
      <c r="G52" s="15"/>
      <c r="H52" s="15"/>
      <c r="I52" s="15"/>
      <c r="J52" s="53"/>
    </row>
    <row r="53" spans="1:10" ht="24.95" customHeight="1" x14ac:dyDescent="0.35">
      <c r="A53" s="67"/>
      <c r="B53" s="55"/>
      <c r="C53" s="10"/>
      <c r="D53" s="18"/>
      <c r="E53" s="12"/>
      <c r="F53" s="13"/>
      <c r="G53" s="15"/>
      <c r="H53" s="15"/>
      <c r="I53" s="15"/>
      <c r="J53" s="53"/>
    </row>
    <row r="54" spans="1:10" ht="24.95" customHeight="1" x14ac:dyDescent="0.35">
      <c r="A54" s="67"/>
      <c r="B54" s="55"/>
      <c r="C54" s="10"/>
      <c r="D54" s="18"/>
      <c r="E54" s="12"/>
      <c r="F54" s="13"/>
      <c r="G54" s="15"/>
      <c r="H54" s="15"/>
      <c r="I54" s="15"/>
      <c r="J54" s="53"/>
    </row>
    <row r="55" spans="1:10" ht="24.95" customHeight="1" x14ac:dyDescent="0.35">
      <c r="A55" s="67"/>
      <c r="B55" s="55"/>
      <c r="C55" s="10"/>
      <c r="D55" s="18"/>
      <c r="E55" s="12"/>
      <c r="F55" s="13"/>
      <c r="G55" s="15"/>
      <c r="H55" s="15"/>
      <c r="I55" s="15"/>
      <c r="J55" s="53"/>
    </row>
    <row r="56" spans="1:10" ht="24.95" customHeight="1" x14ac:dyDescent="0.35">
      <c r="A56" s="67"/>
      <c r="B56" s="55"/>
      <c r="C56" s="10"/>
      <c r="D56" s="18"/>
      <c r="E56" s="12"/>
      <c r="F56" s="13"/>
      <c r="G56" s="15"/>
      <c r="H56" s="15"/>
      <c r="I56" s="15"/>
      <c r="J56" s="53"/>
    </row>
    <row r="57" spans="1:10" ht="24.95" customHeight="1" x14ac:dyDescent="0.35">
      <c r="A57" s="67"/>
      <c r="B57" s="55"/>
      <c r="C57" s="10"/>
      <c r="D57" s="11"/>
      <c r="E57" s="12"/>
      <c r="F57" s="13"/>
      <c r="G57" s="15"/>
      <c r="H57" s="15"/>
      <c r="I57" s="15"/>
      <c r="J57" s="53"/>
    </row>
    <row r="58" spans="1:10" ht="24.95" customHeight="1" x14ac:dyDescent="0.35">
      <c r="A58" s="67"/>
      <c r="B58" s="55"/>
      <c r="C58" s="10"/>
      <c r="D58" s="18"/>
      <c r="E58" s="12"/>
      <c r="F58" s="13"/>
      <c r="G58" s="15"/>
      <c r="H58" s="15"/>
      <c r="I58" s="15"/>
      <c r="J58" s="53"/>
    </row>
    <row r="59" spans="1:10" ht="24.95" customHeight="1" x14ac:dyDescent="0.35">
      <c r="A59" s="67"/>
      <c r="B59" s="55"/>
      <c r="C59" s="10"/>
      <c r="D59" s="18"/>
      <c r="E59" s="12"/>
      <c r="F59" s="13"/>
      <c r="G59" s="15"/>
      <c r="H59" s="15"/>
      <c r="I59" s="15"/>
      <c r="J59" s="53"/>
    </row>
    <row r="60" spans="1:10" ht="24.95" customHeight="1" x14ac:dyDescent="0.35">
      <c r="A60" s="67"/>
      <c r="B60" s="55"/>
      <c r="C60" s="10"/>
      <c r="D60" s="18"/>
      <c r="E60" s="12"/>
      <c r="F60" s="13"/>
      <c r="G60" s="15"/>
      <c r="H60" s="15"/>
      <c r="I60" s="15"/>
      <c r="J60" s="53"/>
    </row>
    <row r="61" spans="1:10" ht="24.95" customHeight="1" x14ac:dyDescent="0.35">
      <c r="A61" s="67"/>
      <c r="B61" s="55"/>
      <c r="C61" s="10"/>
      <c r="D61" s="18"/>
      <c r="E61" s="12"/>
      <c r="F61" s="13"/>
      <c r="G61" s="15"/>
      <c r="H61" s="15"/>
      <c r="I61" s="15"/>
      <c r="J61" s="53"/>
    </row>
    <row r="62" spans="1:10" ht="24.95" customHeight="1" thickBot="1" x14ac:dyDescent="0.4">
      <c r="A62" s="68"/>
      <c r="B62" s="72"/>
      <c r="C62" s="19"/>
      <c r="D62" s="20"/>
      <c r="E62" s="21"/>
      <c r="F62" s="22"/>
      <c r="G62" s="23"/>
      <c r="H62" s="23"/>
      <c r="I62" s="23"/>
      <c r="J62" s="54"/>
    </row>
  </sheetData>
  <sheetProtection sheet="1" objects="1" scenarios="1"/>
  <mergeCells count="1">
    <mergeCell ref="D1:H1"/>
  </mergeCells>
  <conditionalFormatting sqref="C3:C62">
    <cfRule type="expression" dxfId="0" priority="1">
      <formula>$A3&lt;&gt;""</formula>
    </cfRule>
  </conditionalFormatting>
  <dataValidations count="2">
    <dataValidation type="list" allowBlank="1" showInputMessage="1" showErrorMessage="1" sqref="E3:E62" xr:uid="{00000000-0002-0000-0A00-000000000000}">
      <formula1>Fédérations</formula1>
    </dataValidation>
    <dataValidation type="list" allowBlank="1" showInputMessage="1" showErrorMessage="1" sqref="B3:B62" xr:uid="{00000000-0002-0000-0A00-000001000000}">
      <formula1>Rang</formula1>
    </dataValidation>
  </dataValidations>
  <pageMargins left="0.7" right="0.7" top="0.75" bottom="0.75" header="0.3" footer="0.3"/>
  <pageSetup paperSize="9" orientation="portrait" horizontalDpi="4294967293" r:id="rId1"/>
  <headerFooter>
    <oddHeader>&amp;C&amp;"Arial Black"&amp;20Grand prix Oyeu-Burcin 2026</oddHeader>
    <oddFooter>&amp;C&amp;"Arial"&amp;G&amp;12AB =&gt; abandon        NC =&gt; non classé, arrivée en peloton        NP =&gt; non partant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3">
    <tabColor rgb="FF99CC00"/>
  </sheetPr>
  <dimension ref="A1:W100"/>
  <sheetViews>
    <sheetView showGridLines="0" showRowColHeaders="0" topLeftCell="B1" workbookViewId="0">
      <selection sqref="A1:J1"/>
    </sheetView>
  </sheetViews>
  <sheetFormatPr baseColWidth="10" defaultColWidth="11.59765625" defaultRowHeight="12.75" x14ac:dyDescent="0.35"/>
  <cols>
    <col min="1" max="1" width="9.265625" style="8" hidden="1" customWidth="1"/>
    <col min="2" max="2" width="11.73046875" style="8" customWidth="1"/>
    <col min="3" max="3" width="10.59765625" style="8" bestFit="1" customWidth="1"/>
    <col min="4" max="4" width="16" style="35" hidden="1" customWidth="1"/>
    <col min="5" max="5" width="13" style="8" bestFit="1" customWidth="1"/>
    <col min="6" max="6" width="8.3984375" style="8" customWidth="1"/>
    <col min="7" max="7" width="19.3984375" style="35" customWidth="1"/>
    <col min="8" max="8" width="18.1328125" style="35" customWidth="1"/>
    <col min="9" max="9" width="43.265625" style="8" customWidth="1"/>
    <col min="10" max="10" width="14.86328125" style="9" customWidth="1"/>
    <col min="11" max="16384" width="11.59765625" style="9"/>
  </cols>
  <sheetData>
    <row r="1" spans="1:23" s="29" customFormat="1" ht="35.1" customHeight="1" x14ac:dyDescent="0.35">
      <c r="A1" s="127" t="s">
        <v>154</v>
      </c>
      <c r="B1" s="127"/>
      <c r="C1" s="127"/>
      <c r="D1" s="127"/>
      <c r="E1" s="127"/>
      <c r="F1" s="127"/>
      <c r="G1" s="127"/>
      <c r="H1" s="127"/>
      <c r="I1" s="127"/>
      <c r="J1" s="127"/>
    </row>
    <row r="2" spans="1:23" s="34" customFormat="1" ht="24.95" customHeight="1" x14ac:dyDescent="0.35">
      <c r="B2" s="34" t="s">
        <v>152</v>
      </c>
      <c r="C2" s="34" t="s">
        <v>140</v>
      </c>
      <c r="D2" s="36" t="s">
        <v>141</v>
      </c>
      <c r="E2" s="34" t="s">
        <v>144</v>
      </c>
      <c r="F2" s="34" t="s">
        <v>162</v>
      </c>
      <c r="G2" s="34" t="s">
        <v>142</v>
      </c>
      <c r="H2" s="37" t="s">
        <v>192</v>
      </c>
      <c r="I2" s="37" t="s">
        <v>1</v>
      </c>
      <c r="J2" s="38" t="s">
        <v>165</v>
      </c>
      <c r="K2" s="29"/>
      <c r="L2" s="29"/>
      <c r="M2" s="29"/>
      <c r="N2" s="29"/>
      <c r="O2" s="29"/>
      <c r="P2" s="29"/>
      <c r="Q2" s="29"/>
      <c r="R2" s="29"/>
      <c r="S2" s="29"/>
      <c r="T2" s="28"/>
      <c r="U2" s="28"/>
      <c r="V2" s="29"/>
    </row>
    <row r="3" spans="1:23" ht="20.100000000000001" customHeight="1" x14ac:dyDescent="0.35">
      <c r="B3" s="8">
        <v>1</v>
      </c>
      <c r="C3" s="8">
        <v>18</v>
      </c>
      <c r="D3" s="113" t="s">
        <v>105</v>
      </c>
      <c r="G3" s="115" t="s">
        <v>752</v>
      </c>
      <c r="I3" s="9" t="s">
        <v>3</v>
      </c>
      <c r="T3" s="8"/>
      <c r="U3" s="8"/>
      <c r="V3" s="116"/>
      <c r="W3" s="8"/>
    </row>
    <row r="4" spans="1:23" ht="20.100000000000001" customHeight="1" x14ac:dyDescent="0.35">
      <c r="B4" s="8">
        <v>2</v>
      </c>
      <c r="C4" s="8">
        <v>7</v>
      </c>
      <c r="D4" s="113"/>
      <c r="G4" s="35" t="s">
        <v>667</v>
      </c>
      <c r="I4" s="9" t="s">
        <v>668</v>
      </c>
      <c r="T4" s="8"/>
      <c r="U4" s="8"/>
      <c r="W4" s="8"/>
    </row>
    <row r="5" spans="1:23" ht="20.100000000000001" customHeight="1" x14ac:dyDescent="0.35">
      <c r="B5" s="8">
        <v>3</v>
      </c>
      <c r="C5" s="8">
        <v>11</v>
      </c>
      <c r="D5" s="113" t="s">
        <v>670</v>
      </c>
      <c r="G5" s="35" t="s">
        <v>570</v>
      </c>
      <c r="I5" s="9" t="s">
        <v>563</v>
      </c>
      <c r="T5" s="8"/>
      <c r="U5" s="8"/>
      <c r="W5" s="8"/>
    </row>
    <row r="6" spans="1:23" ht="20.100000000000001" customHeight="1" x14ac:dyDescent="0.35">
      <c r="B6" s="8">
        <v>4</v>
      </c>
      <c r="C6" s="8">
        <v>9</v>
      </c>
      <c r="D6" s="113"/>
      <c r="G6" s="35" t="s">
        <v>568</v>
      </c>
      <c r="I6" s="9" t="s">
        <v>569</v>
      </c>
      <c r="T6" s="8"/>
      <c r="U6" s="8"/>
      <c r="W6" s="8"/>
    </row>
    <row r="7" spans="1:23" ht="20.100000000000001" customHeight="1" x14ac:dyDescent="0.35">
      <c r="B7" s="8">
        <v>5</v>
      </c>
      <c r="C7" s="8">
        <v>4</v>
      </c>
      <c r="D7" s="113"/>
      <c r="G7" s="35" t="s">
        <v>663</v>
      </c>
      <c r="H7" s="115"/>
      <c r="I7" s="9" t="s">
        <v>565</v>
      </c>
      <c r="T7" s="8"/>
      <c r="U7" s="8"/>
      <c r="W7" s="8"/>
    </row>
    <row r="8" spans="1:23" ht="20.100000000000001" customHeight="1" x14ac:dyDescent="0.35">
      <c r="B8" s="8">
        <v>6</v>
      </c>
      <c r="C8" s="8">
        <v>20</v>
      </c>
      <c r="D8" s="113" t="s">
        <v>680</v>
      </c>
      <c r="G8" s="35" t="s">
        <v>679</v>
      </c>
      <c r="I8" s="9" t="s">
        <v>20</v>
      </c>
      <c r="T8" s="8"/>
      <c r="U8" s="8"/>
      <c r="W8" s="8"/>
    </row>
    <row r="9" spans="1:23" ht="20.100000000000001" customHeight="1" x14ac:dyDescent="0.35">
      <c r="B9" s="8">
        <v>7</v>
      </c>
      <c r="C9" s="8">
        <v>16</v>
      </c>
      <c r="D9" s="113"/>
      <c r="G9" s="35" t="s">
        <v>572</v>
      </c>
      <c r="I9" s="9" t="s">
        <v>573</v>
      </c>
      <c r="T9" s="8"/>
      <c r="U9" s="8"/>
      <c r="W9" s="8"/>
    </row>
    <row r="10" spans="1:23" ht="20.100000000000001" customHeight="1" x14ac:dyDescent="0.35">
      <c r="B10" s="8">
        <v>8</v>
      </c>
      <c r="C10" s="8">
        <v>6</v>
      </c>
      <c r="D10" s="113"/>
      <c r="G10" s="35" t="s">
        <v>666</v>
      </c>
      <c r="I10" s="9" t="s">
        <v>562</v>
      </c>
      <c r="T10" s="8"/>
      <c r="U10" s="8"/>
      <c r="W10" s="8"/>
    </row>
    <row r="11" spans="1:23" ht="20.100000000000001" customHeight="1" x14ac:dyDescent="0.35">
      <c r="B11" s="8">
        <v>9</v>
      </c>
      <c r="C11" s="8">
        <v>8</v>
      </c>
      <c r="D11" s="113"/>
      <c r="G11" s="35" t="s">
        <v>566</v>
      </c>
      <c r="I11" s="9" t="s">
        <v>567</v>
      </c>
      <c r="T11" s="8"/>
      <c r="U11" s="8"/>
      <c r="W11" s="8"/>
    </row>
    <row r="12" spans="1:23" ht="20.100000000000001" customHeight="1" x14ac:dyDescent="0.35">
      <c r="B12" s="8">
        <v>10</v>
      </c>
      <c r="C12" s="8">
        <v>1</v>
      </c>
      <c r="D12" s="113" t="s">
        <v>658</v>
      </c>
      <c r="G12" s="35" t="s">
        <v>657</v>
      </c>
      <c r="I12" s="9" t="s">
        <v>563</v>
      </c>
      <c r="T12" s="8"/>
      <c r="U12" s="8"/>
      <c r="W12" s="8"/>
    </row>
    <row r="13" spans="1:23" ht="20.100000000000001" customHeight="1" x14ac:dyDescent="0.35">
      <c r="B13" s="8">
        <v>11</v>
      </c>
      <c r="C13" s="8">
        <v>5</v>
      </c>
      <c r="D13" s="113" t="s">
        <v>665</v>
      </c>
      <c r="G13" s="35" t="s">
        <v>664</v>
      </c>
      <c r="I13" s="9" t="s">
        <v>577</v>
      </c>
      <c r="T13" s="8"/>
      <c r="U13" s="8"/>
      <c r="W13" s="8"/>
    </row>
    <row r="14" spans="1:23" ht="20.100000000000001" customHeight="1" x14ac:dyDescent="0.35">
      <c r="B14" s="8">
        <v>12</v>
      </c>
      <c r="C14" s="8">
        <v>17</v>
      </c>
      <c r="D14" s="113"/>
      <c r="G14" s="35" t="s">
        <v>676</v>
      </c>
      <c r="I14" s="9" t="s">
        <v>565</v>
      </c>
      <c r="T14" s="8"/>
      <c r="U14" s="114"/>
      <c r="W14" s="8"/>
    </row>
    <row r="15" spans="1:23" ht="20.100000000000001" customHeight="1" x14ac:dyDescent="0.35">
      <c r="B15" s="8">
        <v>13</v>
      </c>
      <c r="C15" s="8">
        <v>13</v>
      </c>
      <c r="D15" s="113"/>
      <c r="G15" s="35" t="s">
        <v>571</v>
      </c>
      <c r="I15" s="9" t="s">
        <v>562</v>
      </c>
      <c r="T15" s="8"/>
      <c r="U15" s="8"/>
      <c r="W15" s="8"/>
    </row>
    <row r="16" spans="1:23" ht="20.100000000000001" customHeight="1" x14ac:dyDescent="0.35">
      <c r="B16" s="8">
        <v>14</v>
      </c>
      <c r="C16" s="8">
        <v>12</v>
      </c>
      <c r="D16" s="113"/>
      <c r="G16" s="35" t="s">
        <v>671</v>
      </c>
      <c r="I16" s="9" t="s">
        <v>567</v>
      </c>
      <c r="T16" s="8"/>
      <c r="U16" s="8"/>
      <c r="W16" s="8"/>
    </row>
    <row r="17" spans="2:23" ht="20.100000000000001" customHeight="1" x14ac:dyDescent="0.35">
      <c r="B17" s="8">
        <v>15</v>
      </c>
      <c r="C17" s="8">
        <v>10</v>
      </c>
      <c r="D17" s="113"/>
      <c r="G17" s="35" t="s">
        <v>669</v>
      </c>
      <c r="I17" s="9" t="s">
        <v>562</v>
      </c>
      <c r="T17" s="8"/>
      <c r="U17" s="8"/>
      <c r="W17" s="8"/>
    </row>
    <row r="18" spans="2:23" ht="20.100000000000001" customHeight="1" x14ac:dyDescent="0.35">
      <c r="B18" s="8">
        <v>16</v>
      </c>
      <c r="C18" s="8">
        <v>19</v>
      </c>
      <c r="D18" s="113"/>
      <c r="G18" s="35" t="s">
        <v>678</v>
      </c>
      <c r="I18" s="9" t="s">
        <v>562</v>
      </c>
      <c r="T18" s="8"/>
      <c r="U18" s="8"/>
      <c r="W18" s="8"/>
    </row>
    <row r="19" spans="2:23" ht="20.100000000000001" customHeight="1" x14ac:dyDescent="0.35">
      <c r="B19" s="8" t="s">
        <v>395</v>
      </c>
      <c r="C19" s="8">
        <v>2</v>
      </c>
      <c r="D19" s="113"/>
      <c r="G19" s="35" t="s">
        <v>659</v>
      </c>
      <c r="I19" s="9" t="s">
        <v>660</v>
      </c>
      <c r="T19" s="8"/>
      <c r="U19" s="8"/>
      <c r="W19" s="8"/>
    </row>
    <row r="20" spans="2:23" ht="20.100000000000001" customHeight="1" x14ac:dyDescent="0.35">
      <c r="B20" s="8" t="s">
        <v>395</v>
      </c>
      <c r="C20" s="8">
        <v>14</v>
      </c>
      <c r="D20" s="113" t="s">
        <v>673</v>
      </c>
      <c r="G20" s="35" t="s">
        <v>672</v>
      </c>
      <c r="I20" s="9" t="s">
        <v>577</v>
      </c>
      <c r="T20" s="8"/>
      <c r="U20" s="8"/>
      <c r="W20" s="8"/>
    </row>
    <row r="21" spans="2:23" ht="20.100000000000001" customHeight="1" x14ac:dyDescent="0.35">
      <c r="B21" s="8" t="s">
        <v>395</v>
      </c>
      <c r="C21" s="8">
        <v>21</v>
      </c>
      <c r="D21" s="113"/>
      <c r="G21" s="35" t="s">
        <v>681</v>
      </c>
      <c r="I21" s="9" t="s">
        <v>682</v>
      </c>
      <c r="T21" s="8"/>
      <c r="U21" s="8"/>
      <c r="W21" s="8"/>
    </row>
    <row r="22" spans="2:23" ht="20.100000000000001" customHeight="1" x14ac:dyDescent="0.35">
      <c r="B22" s="8" t="s">
        <v>397</v>
      </c>
      <c r="C22" s="8">
        <v>3</v>
      </c>
      <c r="D22" s="113"/>
      <c r="G22" s="35" t="s">
        <v>661</v>
      </c>
      <c r="I22" s="9" t="s">
        <v>662</v>
      </c>
      <c r="T22" s="8"/>
      <c r="U22" s="8"/>
      <c r="W22" s="8"/>
    </row>
    <row r="23" spans="2:23" ht="20.100000000000001" customHeight="1" x14ac:dyDescent="0.35">
      <c r="B23" s="8" t="s">
        <v>397</v>
      </c>
      <c r="C23" s="8">
        <v>15</v>
      </c>
      <c r="D23" s="113"/>
      <c r="G23" s="35" t="s">
        <v>674</v>
      </c>
      <c r="I23" s="9" t="s">
        <v>675</v>
      </c>
      <c r="T23" s="8"/>
      <c r="U23" s="8"/>
      <c r="W23" s="8"/>
    </row>
    <row r="24" spans="2:23" ht="20.100000000000001" customHeight="1" x14ac:dyDescent="0.35">
      <c r="D24" s="113"/>
      <c r="I24" s="9"/>
      <c r="T24" s="8"/>
      <c r="U24" s="8"/>
      <c r="W24" s="8"/>
    </row>
    <row r="25" spans="2:23" ht="20.100000000000001" customHeight="1" x14ac:dyDescent="0.35">
      <c r="D25" s="113"/>
      <c r="I25" s="9"/>
      <c r="T25" s="8"/>
      <c r="U25" s="8"/>
      <c r="W25" s="8"/>
    </row>
    <row r="26" spans="2:23" ht="20.100000000000001" customHeight="1" x14ac:dyDescent="0.35">
      <c r="D26" s="113"/>
      <c r="I26" s="9"/>
      <c r="T26" s="8"/>
      <c r="U26" s="8"/>
      <c r="W26" s="8"/>
    </row>
    <row r="27" spans="2:23" ht="20.100000000000001" customHeight="1" x14ac:dyDescent="0.35">
      <c r="D27" s="113"/>
      <c r="I27" s="9"/>
      <c r="T27" s="8"/>
      <c r="U27" s="8"/>
      <c r="W27" s="8"/>
    </row>
    <row r="28" spans="2:23" ht="20.100000000000001" customHeight="1" x14ac:dyDescent="0.35">
      <c r="D28" s="113"/>
      <c r="I28" s="9"/>
      <c r="T28" s="8"/>
      <c r="U28" s="8"/>
      <c r="W28" s="8"/>
    </row>
    <row r="29" spans="2:23" ht="20.100000000000001" customHeight="1" x14ac:dyDescent="0.35">
      <c r="D29" s="113"/>
      <c r="I29" s="9"/>
      <c r="T29" s="8"/>
      <c r="U29" s="8"/>
      <c r="W29" s="8"/>
    </row>
    <row r="30" spans="2:23" ht="20.100000000000001" customHeight="1" x14ac:dyDescent="0.35">
      <c r="D30" s="113"/>
      <c r="I30" s="9"/>
      <c r="T30" s="8"/>
      <c r="U30" s="8"/>
      <c r="W30" s="8"/>
    </row>
    <row r="31" spans="2:23" ht="20.100000000000001" customHeight="1" x14ac:dyDescent="0.35">
      <c r="D31" s="113"/>
      <c r="I31" s="9"/>
      <c r="T31" s="8"/>
      <c r="U31" s="8"/>
      <c r="W31" s="8"/>
    </row>
    <row r="32" spans="2:23" ht="20.100000000000001" customHeight="1" x14ac:dyDescent="0.35">
      <c r="D32" s="113"/>
      <c r="I32" s="9"/>
      <c r="T32" s="8"/>
      <c r="U32" s="8"/>
      <c r="W32" s="8"/>
    </row>
    <row r="33" spans="4:23" ht="20.100000000000001" customHeight="1" x14ac:dyDescent="0.35">
      <c r="D33" s="113"/>
      <c r="I33" s="9"/>
      <c r="T33" s="8"/>
      <c r="U33" s="8"/>
      <c r="W33" s="8"/>
    </row>
    <row r="34" spans="4:23" ht="20.100000000000001" customHeight="1" x14ac:dyDescent="0.35">
      <c r="D34" s="113"/>
      <c r="I34" s="9"/>
      <c r="T34" s="8"/>
      <c r="U34" s="8"/>
      <c r="W34" s="8"/>
    </row>
    <row r="35" spans="4:23" ht="20.100000000000001" customHeight="1" x14ac:dyDescent="0.35">
      <c r="D35" s="113"/>
      <c r="I35" s="9"/>
      <c r="T35" s="8"/>
      <c r="U35" s="8"/>
      <c r="W35" s="8"/>
    </row>
    <row r="36" spans="4:23" ht="20.100000000000001" customHeight="1" x14ac:dyDescent="0.35">
      <c r="D36" s="113"/>
      <c r="I36" s="9"/>
      <c r="T36" s="8"/>
      <c r="U36" s="8"/>
      <c r="W36" s="8"/>
    </row>
    <row r="37" spans="4:23" ht="20.100000000000001" customHeight="1" x14ac:dyDescent="0.35">
      <c r="D37" s="113"/>
      <c r="I37" s="9"/>
      <c r="T37" s="8"/>
      <c r="U37" s="8"/>
      <c r="W37" s="8"/>
    </row>
    <row r="38" spans="4:23" ht="20.100000000000001" customHeight="1" x14ac:dyDescent="0.35">
      <c r="D38" s="113"/>
      <c r="I38" s="9"/>
      <c r="T38" s="8"/>
      <c r="U38" s="8"/>
      <c r="W38" s="8"/>
    </row>
    <row r="39" spans="4:23" ht="20.100000000000001" customHeight="1" x14ac:dyDescent="0.35">
      <c r="D39" s="113"/>
      <c r="I39" s="9"/>
      <c r="T39" s="8"/>
      <c r="U39" s="8"/>
      <c r="W39" s="8"/>
    </row>
    <row r="40" spans="4:23" ht="20.100000000000001" customHeight="1" x14ac:dyDescent="0.35">
      <c r="D40" s="113"/>
      <c r="I40" s="9"/>
      <c r="T40" s="8"/>
      <c r="U40" s="8"/>
      <c r="W40" s="8"/>
    </row>
    <row r="41" spans="4:23" ht="20.100000000000001" customHeight="1" x14ac:dyDescent="0.35">
      <c r="D41" s="113"/>
      <c r="I41" s="9"/>
      <c r="T41" s="8"/>
      <c r="U41" s="8"/>
      <c r="W41" s="8"/>
    </row>
    <row r="42" spans="4:23" ht="20.100000000000001" customHeight="1" x14ac:dyDescent="0.35">
      <c r="D42" s="113"/>
      <c r="I42" s="9"/>
      <c r="T42" s="8"/>
      <c r="U42" s="8"/>
      <c r="W42" s="8"/>
    </row>
    <row r="43" spans="4:23" ht="20.100000000000001" customHeight="1" x14ac:dyDescent="0.35">
      <c r="I43" s="9"/>
      <c r="T43" s="8"/>
      <c r="U43" s="8"/>
      <c r="W43" s="8"/>
    </row>
    <row r="44" spans="4:23" ht="20.100000000000001" customHeight="1" x14ac:dyDescent="0.35">
      <c r="I44" s="9"/>
      <c r="T44" s="8"/>
      <c r="U44" s="8"/>
      <c r="W44" s="8"/>
    </row>
    <row r="45" spans="4:23" ht="20.100000000000001" customHeight="1" x14ac:dyDescent="0.35">
      <c r="I45" s="9"/>
      <c r="T45" s="8"/>
      <c r="U45" s="8"/>
      <c r="W45" s="8"/>
    </row>
    <row r="46" spans="4:23" ht="20.100000000000001" customHeight="1" x14ac:dyDescent="0.35">
      <c r="I46" s="9"/>
      <c r="T46" s="8"/>
      <c r="U46" s="8"/>
      <c r="W46" s="8"/>
    </row>
    <row r="47" spans="4:23" ht="20.100000000000001" customHeight="1" x14ac:dyDescent="0.35">
      <c r="I47" s="9"/>
      <c r="T47" s="8"/>
      <c r="U47" s="8"/>
      <c r="W47" s="8"/>
    </row>
    <row r="48" spans="4:23" ht="20.100000000000001" customHeight="1" x14ac:dyDescent="0.35">
      <c r="I48" s="9"/>
      <c r="T48" s="8"/>
      <c r="U48" s="8"/>
      <c r="W48" s="8"/>
    </row>
    <row r="49" spans="9:23" ht="20.100000000000001" customHeight="1" x14ac:dyDescent="0.35">
      <c r="I49" s="9"/>
      <c r="T49" s="8"/>
      <c r="U49" s="8"/>
      <c r="W49" s="8"/>
    </row>
    <row r="50" spans="9:23" ht="20.100000000000001" customHeight="1" x14ac:dyDescent="0.35">
      <c r="I50" s="9"/>
      <c r="T50" s="8"/>
      <c r="U50" s="8"/>
      <c r="W50" s="8"/>
    </row>
    <row r="51" spans="9:23" ht="20.100000000000001" customHeight="1" x14ac:dyDescent="0.35">
      <c r="I51" s="9"/>
      <c r="T51" s="8"/>
      <c r="U51" s="8"/>
      <c r="W51" s="8"/>
    </row>
    <row r="52" spans="9:23" ht="20.100000000000001" customHeight="1" x14ac:dyDescent="0.35">
      <c r="I52" s="9"/>
      <c r="T52" s="8"/>
      <c r="U52" s="8"/>
      <c r="W52" s="8"/>
    </row>
    <row r="53" spans="9:23" ht="20.100000000000001" customHeight="1" x14ac:dyDescent="0.35">
      <c r="I53" s="9"/>
      <c r="T53" s="8"/>
      <c r="U53" s="8"/>
      <c r="W53" s="8"/>
    </row>
    <row r="54" spans="9:23" ht="20.100000000000001" customHeight="1" x14ac:dyDescent="0.35">
      <c r="I54" s="9"/>
      <c r="T54" s="8"/>
      <c r="U54" s="8"/>
      <c r="W54" s="8"/>
    </row>
    <row r="55" spans="9:23" ht="20.100000000000001" customHeight="1" x14ac:dyDescent="0.35">
      <c r="I55" s="9"/>
      <c r="T55" s="8"/>
      <c r="U55" s="8"/>
      <c r="W55" s="8"/>
    </row>
    <row r="56" spans="9:23" ht="20.100000000000001" customHeight="1" x14ac:dyDescent="0.35">
      <c r="I56" s="9"/>
      <c r="T56" s="8"/>
      <c r="U56" s="8"/>
      <c r="W56" s="8"/>
    </row>
    <row r="57" spans="9:23" ht="20.100000000000001" customHeight="1" x14ac:dyDescent="0.35">
      <c r="I57" s="9"/>
      <c r="T57" s="8"/>
      <c r="U57" s="8"/>
      <c r="W57" s="8"/>
    </row>
    <row r="58" spans="9:23" ht="20.100000000000001" customHeight="1" x14ac:dyDescent="0.35">
      <c r="I58" s="9"/>
      <c r="T58" s="8"/>
      <c r="U58" s="8"/>
      <c r="W58" s="8"/>
    </row>
    <row r="59" spans="9:23" ht="20.100000000000001" customHeight="1" x14ac:dyDescent="0.35">
      <c r="I59" s="9"/>
      <c r="T59" s="8"/>
      <c r="U59" s="8"/>
      <c r="W59" s="8"/>
    </row>
    <row r="60" spans="9:23" ht="20.100000000000001" customHeight="1" x14ac:dyDescent="0.35">
      <c r="I60" s="9"/>
      <c r="T60" s="8"/>
      <c r="U60" s="8"/>
      <c r="W60" s="8"/>
    </row>
    <row r="61" spans="9:23" ht="20.100000000000001" customHeight="1" x14ac:dyDescent="0.35">
      <c r="I61" s="9"/>
      <c r="T61" s="8"/>
      <c r="U61" s="8"/>
      <c r="W61" s="8"/>
    </row>
    <row r="62" spans="9:23" ht="20.100000000000001" customHeight="1" x14ac:dyDescent="0.35">
      <c r="I62" s="9"/>
      <c r="T62" s="8"/>
      <c r="U62" s="8"/>
      <c r="W62" s="8"/>
    </row>
    <row r="63" spans="9:23" ht="20.100000000000001" customHeight="1" x14ac:dyDescent="0.35">
      <c r="I63" s="9"/>
      <c r="T63" s="8"/>
      <c r="U63" s="8"/>
      <c r="W63" s="8"/>
    </row>
    <row r="64" spans="9:23" ht="20.100000000000001" customHeight="1" x14ac:dyDescent="0.35">
      <c r="I64" s="9"/>
      <c r="T64" s="8"/>
      <c r="U64" s="8"/>
      <c r="W64" s="8"/>
    </row>
    <row r="65" spans="9:23" ht="20.100000000000001" customHeight="1" x14ac:dyDescent="0.35">
      <c r="I65" s="9"/>
      <c r="T65" s="8"/>
      <c r="U65" s="8"/>
      <c r="W65" s="8"/>
    </row>
    <row r="66" spans="9:23" ht="20.100000000000001" customHeight="1" x14ac:dyDescent="0.35">
      <c r="I66" s="9"/>
      <c r="T66" s="8"/>
      <c r="U66" s="8"/>
      <c r="W66" s="8"/>
    </row>
    <row r="67" spans="9:23" ht="20.100000000000001" customHeight="1" x14ac:dyDescent="0.35">
      <c r="I67" s="9"/>
      <c r="T67" s="8"/>
      <c r="U67" s="8"/>
      <c r="W67" s="8"/>
    </row>
    <row r="68" spans="9:23" ht="20.100000000000001" customHeight="1" x14ac:dyDescent="0.35">
      <c r="I68" s="9"/>
      <c r="T68" s="8"/>
      <c r="U68" s="8"/>
      <c r="W68" s="8"/>
    </row>
    <row r="69" spans="9:23" ht="20.100000000000001" customHeight="1" x14ac:dyDescent="0.35">
      <c r="I69" s="9"/>
      <c r="T69" s="8"/>
      <c r="U69" s="8"/>
      <c r="W69" s="8"/>
    </row>
    <row r="70" spans="9:23" ht="20.100000000000001" customHeight="1" x14ac:dyDescent="0.35">
      <c r="I70" s="9"/>
      <c r="T70" s="8"/>
      <c r="U70" s="8"/>
      <c r="W70" s="8"/>
    </row>
    <row r="71" spans="9:23" ht="20.100000000000001" customHeight="1" x14ac:dyDescent="0.35">
      <c r="I71" s="9"/>
      <c r="T71" s="8"/>
      <c r="U71" s="8"/>
      <c r="W71" s="8"/>
    </row>
    <row r="72" spans="9:23" ht="20.100000000000001" customHeight="1" x14ac:dyDescent="0.35">
      <c r="I72" s="9"/>
      <c r="T72" s="8"/>
      <c r="U72" s="8"/>
      <c r="W72" s="8"/>
    </row>
    <row r="73" spans="9:23" ht="20.100000000000001" customHeight="1" x14ac:dyDescent="0.35">
      <c r="I73" s="9"/>
      <c r="T73" s="8"/>
      <c r="U73" s="8"/>
      <c r="W73" s="8"/>
    </row>
    <row r="74" spans="9:23" ht="20.100000000000001" customHeight="1" x14ac:dyDescent="0.35">
      <c r="I74" s="9"/>
      <c r="T74" s="8"/>
      <c r="U74" s="8"/>
      <c r="W74" s="8"/>
    </row>
    <row r="75" spans="9:23" ht="20.100000000000001" customHeight="1" x14ac:dyDescent="0.35">
      <c r="I75" s="9"/>
      <c r="T75" s="8"/>
      <c r="U75" s="8"/>
      <c r="W75" s="8"/>
    </row>
    <row r="76" spans="9:23" ht="20.100000000000001" customHeight="1" x14ac:dyDescent="0.35">
      <c r="I76" s="9"/>
      <c r="T76" s="8"/>
      <c r="U76" s="8"/>
      <c r="W76" s="8"/>
    </row>
    <row r="77" spans="9:23" ht="20.100000000000001" customHeight="1" x14ac:dyDescent="0.35">
      <c r="I77" s="9"/>
      <c r="T77" s="8"/>
      <c r="U77" s="8"/>
      <c r="W77" s="8"/>
    </row>
    <row r="78" spans="9:23" ht="20.100000000000001" customHeight="1" x14ac:dyDescent="0.35">
      <c r="I78" s="9"/>
      <c r="T78" s="8"/>
      <c r="U78" s="8"/>
      <c r="W78" s="8"/>
    </row>
    <row r="79" spans="9:23" ht="20.100000000000001" customHeight="1" x14ac:dyDescent="0.35">
      <c r="I79" s="9"/>
      <c r="T79" s="8"/>
      <c r="U79" s="8"/>
      <c r="W79" s="8"/>
    </row>
    <row r="80" spans="9:23" ht="20.100000000000001" customHeight="1" x14ac:dyDescent="0.35">
      <c r="I80" s="9"/>
      <c r="T80" s="8"/>
      <c r="U80" s="8"/>
      <c r="W80" s="8"/>
    </row>
    <row r="81" spans="9:23" ht="20.100000000000001" customHeight="1" x14ac:dyDescent="0.35">
      <c r="I81" s="9"/>
      <c r="T81" s="8"/>
      <c r="U81" s="8"/>
      <c r="W81" s="8"/>
    </row>
    <row r="82" spans="9:23" ht="20.100000000000001" customHeight="1" x14ac:dyDescent="0.35">
      <c r="I82" s="9"/>
      <c r="T82" s="8"/>
      <c r="U82" s="8"/>
      <c r="W82" s="8"/>
    </row>
    <row r="83" spans="9:23" ht="20.100000000000001" customHeight="1" x14ac:dyDescent="0.35">
      <c r="I83" s="9"/>
      <c r="T83" s="8"/>
      <c r="U83" s="8"/>
      <c r="W83" s="8"/>
    </row>
    <row r="84" spans="9:23" ht="20.100000000000001" customHeight="1" x14ac:dyDescent="0.35">
      <c r="I84" s="9"/>
      <c r="T84" s="8"/>
      <c r="U84" s="8"/>
      <c r="W84" s="8"/>
    </row>
    <row r="85" spans="9:23" ht="20.100000000000001" customHeight="1" x14ac:dyDescent="0.35">
      <c r="I85" s="9"/>
      <c r="T85" s="8"/>
      <c r="U85" s="8"/>
      <c r="W85" s="8"/>
    </row>
    <row r="86" spans="9:23" ht="20.100000000000001" customHeight="1" x14ac:dyDescent="0.35">
      <c r="I86" s="9"/>
      <c r="T86" s="8"/>
      <c r="U86" s="8"/>
      <c r="W86" s="8"/>
    </row>
    <row r="87" spans="9:23" ht="20.100000000000001" customHeight="1" x14ac:dyDescent="0.35">
      <c r="I87" s="9"/>
      <c r="T87" s="8"/>
      <c r="U87" s="8"/>
      <c r="W87" s="8"/>
    </row>
    <row r="88" spans="9:23" ht="20.100000000000001" customHeight="1" x14ac:dyDescent="0.35">
      <c r="I88" s="9"/>
      <c r="T88" s="8"/>
      <c r="U88" s="8"/>
      <c r="W88" s="8"/>
    </row>
    <row r="89" spans="9:23" ht="20.100000000000001" customHeight="1" x14ac:dyDescent="0.35">
      <c r="I89" s="9"/>
      <c r="T89" s="8"/>
      <c r="U89" s="8"/>
      <c r="W89" s="8"/>
    </row>
    <row r="90" spans="9:23" ht="20.100000000000001" customHeight="1" x14ac:dyDescent="0.35">
      <c r="I90" s="9"/>
      <c r="T90" s="8"/>
      <c r="U90" s="8"/>
      <c r="W90" s="8"/>
    </row>
    <row r="91" spans="9:23" ht="20.100000000000001" customHeight="1" x14ac:dyDescent="0.35">
      <c r="I91" s="9"/>
      <c r="T91" s="8"/>
      <c r="U91" s="8"/>
      <c r="W91" s="8"/>
    </row>
    <row r="92" spans="9:23" ht="20.100000000000001" customHeight="1" x14ac:dyDescent="0.35">
      <c r="I92" s="9"/>
      <c r="T92" s="8"/>
      <c r="U92" s="8"/>
      <c r="W92" s="8"/>
    </row>
    <row r="93" spans="9:23" ht="20.100000000000001" customHeight="1" x14ac:dyDescent="0.35">
      <c r="I93" s="9"/>
      <c r="T93" s="8"/>
      <c r="U93" s="8"/>
      <c r="W93" s="8"/>
    </row>
    <row r="94" spans="9:23" ht="20.100000000000001" customHeight="1" x14ac:dyDescent="0.35">
      <c r="I94" s="9"/>
      <c r="T94" s="8"/>
      <c r="U94" s="8"/>
      <c r="W94" s="8"/>
    </row>
    <row r="95" spans="9:23" ht="20.100000000000001" customHeight="1" x14ac:dyDescent="0.35">
      <c r="I95" s="9"/>
      <c r="T95" s="8"/>
      <c r="U95" s="8"/>
      <c r="W95" s="8"/>
    </row>
    <row r="96" spans="9:23" ht="20.100000000000001" customHeight="1" x14ac:dyDescent="0.35">
      <c r="I96" s="9"/>
      <c r="T96" s="8"/>
      <c r="U96" s="8"/>
      <c r="W96" s="8"/>
    </row>
    <row r="97" spans="9:23" ht="20.100000000000001" customHeight="1" x14ac:dyDescent="0.35">
      <c r="I97" s="9"/>
      <c r="T97" s="8"/>
      <c r="U97" s="8"/>
      <c r="W97" s="8"/>
    </row>
    <row r="98" spans="9:23" ht="20.100000000000001" customHeight="1" x14ac:dyDescent="0.35">
      <c r="I98" s="9"/>
      <c r="T98" s="8"/>
      <c r="U98" s="8"/>
      <c r="W98" s="8"/>
    </row>
    <row r="99" spans="9:23" ht="20.100000000000001" customHeight="1" x14ac:dyDescent="0.35">
      <c r="I99" s="9"/>
      <c r="T99" s="8"/>
      <c r="U99" s="8"/>
      <c r="W99" s="8"/>
    </row>
    <row r="100" spans="9:23" ht="20.100000000000001" customHeight="1" x14ac:dyDescent="0.35"/>
  </sheetData>
  <sheetProtection sheet="1" objects="1" scenarios="1"/>
  <sortState xmlns:xlrd2="http://schemas.microsoft.com/office/spreadsheetml/2017/richdata2" ref="A3:W23">
    <sortCondition ref="B3"/>
  </sortState>
  <mergeCells count="1">
    <mergeCell ref="A1:J1"/>
  </mergeCells>
  <printOptions horizontalCentered="1"/>
  <pageMargins left="0.23622047244094491" right="0.23622047244094491" top="1.1330314960629921" bottom="0.74803149606299213" header="0" footer="0"/>
  <pageSetup scale="92" orientation="landscape" horizontalDpi="4294967293" r:id="rId1"/>
  <headerFooter>
    <oddHeader>&amp;C&amp;"Arial Black"&amp;20Grand prix Oyeu-Burcin 2026</oddHeader>
    <oddFooter>&amp;C&amp;"Arial"&amp;G&amp;12AB =&gt; abandon        NC =&gt; non classé, arrivée en peloton        NP =&gt; non partant</oddFooter>
  </headerFooter>
  <rowBreaks count="1" manualBreakCount="1">
    <brk id="24" max="9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3">
    <tabColor rgb="FF99CC00"/>
  </sheetPr>
  <dimension ref="A1:W100"/>
  <sheetViews>
    <sheetView showGridLines="0" showRowColHeaders="0" topLeftCell="B1" workbookViewId="0">
      <selection sqref="A1:J1"/>
    </sheetView>
  </sheetViews>
  <sheetFormatPr baseColWidth="10" defaultColWidth="11.59765625" defaultRowHeight="12.75" x14ac:dyDescent="0.35"/>
  <cols>
    <col min="1" max="1" width="9.265625" style="8" hidden="1" customWidth="1"/>
    <col min="2" max="2" width="11.73046875" style="8" customWidth="1"/>
    <col min="3" max="3" width="10.59765625" style="8" bestFit="1" customWidth="1"/>
    <col min="4" max="4" width="16" style="35" hidden="1" customWidth="1"/>
    <col min="5" max="5" width="13" style="8" bestFit="1" customWidth="1"/>
    <col min="6" max="6" width="8.3984375" style="8" customWidth="1"/>
    <col min="7" max="7" width="19.3984375" style="35" customWidth="1"/>
    <col min="8" max="8" width="18.1328125" style="35" customWidth="1"/>
    <col min="9" max="9" width="43.265625" style="8" customWidth="1"/>
    <col min="10" max="10" width="14.86328125" style="9" customWidth="1"/>
    <col min="11" max="16384" width="11.59765625" style="9"/>
  </cols>
  <sheetData>
    <row r="1" spans="1:23" s="29" customFormat="1" ht="35.1" customHeight="1" x14ac:dyDescent="0.35">
      <c r="A1" s="127" t="s">
        <v>155</v>
      </c>
      <c r="B1" s="127"/>
      <c r="C1" s="127"/>
      <c r="D1" s="127"/>
      <c r="E1" s="127"/>
      <c r="F1" s="127"/>
      <c r="G1" s="127"/>
      <c r="H1" s="127"/>
      <c r="I1" s="127"/>
      <c r="J1" s="127"/>
    </row>
    <row r="2" spans="1:23" s="34" customFormat="1" ht="24.95" customHeight="1" x14ac:dyDescent="0.35">
      <c r="B2" s="34" t="s">
        <v>152</v>
      </c>
      <c r="C2" s="34" t="s">
        <v>140</v>
      </c>
      <c r="D2" s="36" t="s">
        <v>141</v>
      </c>
      <c r="E2" s="34" t="s">
        <v>144</v>
      </c>
      <c r="F2" s="34" t="s">
        <v>162</v>
      </c>
      <c r="G2" s="34" t="s">
        <v>142</v>
      </c>
      <c r="H2" s="37" t="s">
        <v>192</v>
      </c>
      <c r="I2" s="37" t="s">
        <v>1</v>
      </c>
      <c r="J2" s="38" t="s">
        <v>165</v>
      </c>
      <c r="K2" s="29"/>
      <c r="L2" s="29"/>
      <c r="M2" s="29"/>
      <c r="N2" s="29"/>
      <c r="O2" s="29"/>
      <c r="P2" s="29"/>
      <c r="Q2" s="29"/>
      <c r="R2" s="29"/>
      <c r="S2" s="29"/>
      <c r="T2" s="28"/>
      <c r="U2" s="28"/>
      <c r="V2" s="29"/>
    </row>
    <row r="3" spans="1:23" ht="20.100000000000001" customHeight="1" x14ac:dyDescent="0.35">
      <c r="B3" s="8">
        <v>1</v>
      </c>
      <c r="C3" s="8">
        <v>77</v>
      </c>
      <c r="D3" s="113" t="s">
        <v>593</v>
      </c>
      <c r="G3" s="35" t="s">
        <v>592</v>
      </c>
      <c r="I3" s="9" t="s">
        <v>564</v>
      </c>
      <c r="T3" s="8"/>
      <c r="U3" s="8"/>
      <c r="W3" s="8"/>
    </row>
    <row r="4" spans="1:23" ht="20.100000000000001" customHeight="1" x14ac:dyDescent="0.35">
      <c r="B4" s="8">
        <v>2</v>
      </c>
      <c r="C4" s="8">
        <v>79</v>
      </c>
      <c r="D4" s="113" t="s">
        <v>595</v>
      </c>
      <c r="G4" s="35" t="s">
        <v>594</v>
      </c>
      <c r="I4" s="9" t="s">
        <v>3</v>
      </c>
      <c r="T4" s="8"/>
      <c r="U4" s="8"/>
      <c r="W4" s="8"/>
    </row>
    <row r="5" spans="1:23" ht="20.100000000000001" customHeight="1" x14ac:dyDescent="0.35">
      <c r="B5" s="8">
        <v>3</v>
      </c>
      <c r="C5" s="8">
        <v>78</v>
      </c>
      <c r="D5" s="113" t="s">
        <v>710</v>
      </c>
      <c r="G5" s="35" t="s">
        <v>709</v>
      </c>
      <c r="I5" s="9" t="s">
        <v>577</v>
      </c>
      <c r="T5" s="8"/>
      <c r="U5" s="8"/>
      <c r="W5" s="8"/>
    </row>
    <row r="6" spans="1:23" ht="20.100000000000001" customHeight="1" x14ac:dyDescent="0.35">
      <c r="B6" s="8">
        <v>4</v>
      </c>
      <c r="C6" s="8">
        <v>71</v>
      </c>
      <c r="D6" s="113" t="s">
        <v>589</v>
      </c>
      <c r="G6" s="115" t="s">
        <v>588</v>
      </c>
      <c r="I6" s="9" t="s">
        <v>3</v>
      </c>
      <c r="T6" s="8"/>
      <c r="U6" s="8"/>
      <c r="V6" s="116"/>
      <c r="W6" s="8"/>
    </row>
    <row r="7" spans="1:23" ht="20.100000000000001" customHeight="1" x14ac:dyDescent="0.35">
      <c r="B7" s="8">
        <v>5</v>
      </c>
      <c r="C7" s="8">
        <v>73</v>
      </c>
      <c r="D7" s="113" t="s">
        <v>704</v>
      </c>
      <c r="G7" s="35" t="s">
        <v>703</v>
      </c>
      <c r="I7" s="9" t="s">
        <v>577</v>
      </c>
      <c r="T7" s="8"/>
      <c r="U7" s="8"/>
      <c r="W7" s="8"/>
    </row>
    <row r="8" spans="1:23" ht="20.100000000000001" customHeight="1" x14ac:dyDescent="0.35">
      <c r="B8" s="8">
        <v>6</v>
      </c>
      <c r="C8" s="8">
        <v>68</v>
      </c>
      <c r="D8" s="113" t="s">
        <v>585</v>
      </c>
      <c r="G8" s="35" t="s">
        <v>584</v>
      </c>
      <c r="I8" s="9" t="s">
        <v>559</v>
      </c>
      <c r="T8" s="8"/>
      <c r="U8" s="8"/>
      <c r="W8" s="8"/>
    </row>
    <row r="9" spans="1:23" ht="20.100000000000001" customHeight="1" x14ac:dyDescent="0.35">
      <c r="B9" s="8">
        <v>7</v>
      </c>
      <c r="C9" s="8">
        <v>59</v>
      </c>
      <c r="D9" s="113"/>
      <c r="G9" s="35" t="s">
        <v>692</v>
      </c>
      <c r="I9" s="9"/>
      <c r="T9" s="8"/>
      <c r="U9" s="8"/>
      <c r="W9" s="8"/>
    </row>
    <row r="10" spans="1:23" ht="20.100000000000001" customHeight="1" x14ac:dyDescent="0.35">
      <c r="B10" s="8">
        <v>8</v>
      </c>
      <c r="C10" s="8">
        <v>60</v>
      </c>
      <c r="D10" s="113" t="s">
        <v>603</v>
      </c>
      <c r="G10" s="35" t="s">
        <v>602</v>
      </c>
      <c r="I10" s="9" t="s">
        <v>3</v>
      </c>
      <c r="T10" s="8"/>
      <c r="U10" s="8"/>
      <c r="W10" s="8"/>
    </row>
    <row r="11" spans="1:23" ht="20.100000000000001" customHeight="1" x14ac:dyDescent="0.35">
      <c r="B11" s="8">
        <v>9</v>
      </c>
      <c r="C11" s="8">
        <v>74</v>
      </c>
      <c r="D11" s="113" t="s">
        <v>97</v>
      </c>
      <c r="G11" s="35" t="s">
        <v>591</v>
      </c>
      <c r="I11" s="9" t="s">
        <v>564</v>
      </c>
      <c r="T11" s="8"/>
      <c r="U11" s="8"/>
      <c r="W11" s="8"/>
    </row>
    <row r="12" spans="1:23" ht="20.100000000000001" customHeight="1" x14ac:dyDescent="0.35">
      <c r="B12" s="8">
        <v>10</v>
      </c>
      <c r="C12" s="8">
        <v>69</v>
      </c>
      <c r="D12" s="113" t="s">
        <v>587</v>
      </c>
      <c r="G12" s="35" t="s">
        <v>586</v>
      </c>
      <c r="I12" s="9" t="s">
        <v>559</v>
      </c>
      <c r="T12" s="8"/>
      <c r="U12" s="8"/>
      <c r="W12" s="8"/>
    </row>
    <row r="13" spans="1:23" ht="20.100000000000001" customHeight="1" x14ac:dyDescent="0.35">
      <c r="B13" s="8">
        <v>11</v>
      </c>
      <c r="C13" s="8">
        <v>63</v>
      </c>
      <c r="D13" s="113"/>
      <c r="G13" s="35" t="s">
        <v>694</v>
      </c>
      <c r="I13" s="9" t="s">
        <v>695</v>
      </c>
      <c r="T13" s="8"/>
      <c r="U13" s="114"/>
      <c r="W13" s="8"/>
    </row>
    <row r="14" spans="1:23" ht="20.100000000000001" customHeight="1" x14ac:dyDescent="0.35">
      <c r="B14" s="8">
        <v>12</v>
      </c>
      <c r="C14" s="8">
        <v>67</v>
      </c>
      <c r="D14" s="113"/>
      <c r="G14" s="35" t="s">
        <v>699</v>
      </c>
      <c r="I14" s="9" t="s">
        <v>700</v>
      </c>
      <c r="T14" s="8"/>
      <c r="U14" s="8"/>
      <c r="W14" s="8"/>
    </row>
    <row r="15" spans="1:23" ht="20.100000000000001" customHeight="1" x14ac:dyDescent="0.35">
      <c r="B15" s="8">
        <v>13</v>
      </c>
      <c r="C15" s="8">
        <v>75</v>
      </c>
      <c r="D15" s="113" t="s">
        <v>706</v>
      </c>
      <c r="G15" s="35" t="s">
        <v>705</v>
      </c>
      <c r="I15" s="9" t="s">
        <v>564</v>
      </c>
      <c r="T15" s="8"/>
      <c r="U15" s="8"/>
      <c r="W15" s="8"/>
    </row>
    <row r="16" spans="1:23" ht="20.100000000000001" customHeight="1" x14ac:dyDescent="0.35">
      <c r="B16" s="8">
        <v>14</v>
      </c>
      <c r="C16" s="8">
        <v>62</v>
      </c>
      <c r="D16" s="113"/>
      <c r="G16" s="35" t="s">
        <v>693</v>
      </c>
      <c r="I16" s="9"/>
      <c r="T16" s="8"/>
      <c r="U16" s="8"/>
      <c r="W16" s="8"/>
    </row>
    <row r="17" spans="2:23" ht="20.100000000000001" customHeight="1" x14ac:dyDescent="0.35">
      <c r="B17" s="8">
        <v>15</v>
      </c>
      <c r="C17" s="8">
        <v>56</v>
      </c>
      <c r="D17" s="113" t="s">
        <v>691</v>
      </c>
      <c r="G17" s="35" t="s">
        <v>690</v>
      </c>
      <c r="I17" s="9" t="s">
        <v>577</v>
      </c>
      <c r="T17" s="8"/>
      <c r="U17" s="8"/>
      <c r="W17" s="8"/>
    </row>
    <row r="18" spans="2:23" ht="20.100000000000001" customHeight="1" x14ac:dyDescent="0.35">
      <c r="B18" s="8">
        <v>16</v>
      </c>
      <c r="C18" s="8">
        <v>70</v>
      </c>
      <c r="D18" s="113" t="s">
        <v>702</v>
      </c>
      <c r="G18" s="35" t="s">
        <v>701</v>
      </c>
      <c r="I18" s="9" t="s">
        <v>577</v>
      </c>
      <c r="T18" s="8"/>
      <c r="U18" s="8"/>
      <c r="W18" s="8"/>
    </row>
    <row r="19" spans="2:23" ht="20.100000000000001" customHeight="1" x14ac:dyDescent="0.35">
      <c r="B19" s="8">
        <v>17</v>
      </c>
      <c r="C19" s="8">
        <v>58</v>
      </c>
      <c r="D19" s="113" t="s">
        <v>601</v>
      </c>
      <c r="G19" s="35" t="s">
        <v>600</v>
      </c>
      <c r="I19" s="9" t="s">
        <v>559</v>
      </c>
      <c r="T19" s="8"/>
      <c r="U19" s="8"/>
      <c r="W19" s="8"/>
    </row>
    <row r="20" spans="2:23" ht="20.100000000000001" customHeight="1" x14ac:dyDescent="0.35">
      <c r="B20" s="8">
        <v>18</v>
      </c>
      <c r="C20" s="8">
        <v>53</v>
      </c>
      <c r="D20" s="113" t="s">
        <v>575</v>
      </c>
      <c r="G20" s="35" t="s">
        <v>753</v>
      </c>
      <c r="I20" s="9" t="s">
        <v>3</v>
      </c>
      <c r="T20" s="8"/>
      <c r="U20" s="8"/>
      <c r="W20" s="8"/>
    </row>
    <row r="21" spans="2:23" ht="20.100000000000001" customHeight="1" x14ac:dyDescent="0.35">
      <c r="B21" s="8">
        <v>19</v>
      </c>
      <c r="C21" s="8">
        <v>51</v>
      </c>
      <c r="D21" s="113" t="s">
        <v>443</v>
      </c>
      <c r="G21" s="35" t="s">
        <v>574</v>
      </c>
      <c r="I21" s="9" t="s">
        <v>564</v>
      </c>
      <c r="T21" s="8"/>
      <c r="U21" s="8"/>
      <c r="W21" s="8"/>
    </row>
    <row r="22" spans="2:23" ht="20.100000000000001" customHeight="1" x14ac:dyDescent="0.35">
      <c r="B22" s="8">
        <v>20</v>
      </c>
      <c r="C22" s="8">
        <v>76</v>
      </c>
      <c r="D22" s="113" t="s">
        <v>708</v>
      </c>
      <c r="G22" s="35" t="s">
        <v>707</v>
      </c>
      <c r="I22" s="9" t="s">
        <v>564</v>
      </c>
      <c r="T22" s="8"/>
      <c r="U22" s="8"/>
      <c r="W22" s="8"/>
    </row>
    <row r="23" spans="2:23" ht="20.100000000000001" customHeight="1" x14ac:dyDescent="0.35">
      <c r="B23" s="8">
        <v>21</v>
      </c>
      <c r="C23" s="8">
        <v>72</v>
      </c>
      <c r="D23" s="113"/>
      <c r="G23" s="35" t="s">
        <v>590</v>
      </c>
      <c r="I23" s="9" t="s">
        <v>629</v>
      </c>
      <c r="T23" s="8"/>
      <c r="U23" s="8"/>
      <c r="W23" s="8"/>
    </row>
    <row r="24" spans="2:23" ht="20.100000000000001" customHeight="1" x14ac:dyDescent="0.35">
      <c r="B24" s="8">
        <v>22</v>
      </c>
      <c r="C24" s="8" t="s">
        <v>750</v>
      </c>
      <c r="D24" s="113"/>
      <c r="G24" s="35" t="s">
        <v>754</v>
      </c>
      <c r="I24" s="9" t="s">
        <v>20</v>
      </c>
      <c r="T24" s="8"/>
      <c r="U24" s="8"/>
      <c r="W24" s="8"/>
    </row>
    <row r="25" spans="2:23" ht="20.100000000000001" customHeight="1" x14ac:dyDescent="0.35">
      <c r="B25" s="8">
        <v>23</v>
      </c>
      <c r="C25" s="8">
        <v>64</v>
      </c>
      <c r="D25" s="113" t="s">
        <v>129</v>
      </c>
      <c r="G25" s="35" t="s">
        <v>583</v>
      </c>
      <c r="H25" s="115"/>
      <c r="I25" s="9" t="s">
        <v>577</v>
      </c>
      <c r="T25" s="8"/>
      <c r="U25" s="8"/>
      <c r="W25" s="8"/>
    </row>
    <row r="26" spans="2:23" ht="20.100000000000001" customHeight="1" x14ac:dyDescent="0.35">
      <c r="B26" s="8">
        <v>24</v>
      </c>
      <c r="C26" s="8">
        <v>57</v>
      </c>
      <c r="D26" s="113" t="s">
        <v>578</v>
      </c>
      <c r="G26" s="35" t="s">
        <v>576</v>
      </c>
      <c r="I26" s="9" t="s">
        <v>577</v>
      </c>
      <c r="T26" s="8"/>
      <c r="U26" s="8"/>
      <c r="W26" s="8"/>
    </row>
    <row r="27" spans="2:23" ht="20.100000000000001" customHeight="1" x14ac:dyDescent="0.35">
      <c r="B27" s="8">
        <v>25</v>
      </c>
      <c r="C27" s="8">
        <v>66</v>
      </c>
      <c r="D27" s="113"/>
      <c r="G27" s="35" t="s">
        <v>698</v>
      </c>
      <c r="I27" s="9" t="s">
        <v>695</v>
      </c>
      <c r="T27" s="8"/>
      <c r="U27" s="8"/>
      <c r="W27" s="8"/>
    </row>
    <row r="28" spans="2:23" ht="20.100000000000001" customHeight="1" x14ac:dyDescent="0.35">
      <c r="B28" s="8">
        <v>26</v>
      </c>
      <c r="C28" s="8">
        <v>80</v>
      </c>
      <c r="D28" s="113"/>
      <c r="G28" s="35" t="s">
        <v>711</v>
      </c>
      <c r="I28" s="9" t="s">
        <v>712</v>
      </c>
      <c r="T28" s="8"/>
      <c r="U28" s="8"/>
      <c r="W28" s="8"/>
    </row>
    <row r="29" spans="2:23" ht="20.100000000000001" customHeight="1" x14ac:dyDescent="0.35">
      <c r="B29" s="8" t="s">
        <v>395</v>
      </c>
      <c r="C29" s="8">
        <v>52</v>
      </c>
      <c r="D29" s="113" t="s">
        <v>685</v>
      </c>
      <c r="G29" s="35" t="s">
        <v>755</v>
      </c>
      <c r="I29" s="9" t="s">
        <v>684</v>
      </c>
      <c r="T29" s="8"/>
      <c r="U29" s="8"/>
      <c r="W29" s="8"/>
    </row>
    <row r="30" spans="2:23" ht="20.100000000000001" customHeight="1" x14ac:dyDescent="0.35">
      <c r="B30" s="8" t="s">
        <v>395</v>
      </c>
      <c r="C30" s="8">
        <v>55</v>
      </c>
      <c r="D30" s="113"/>
      <c r="G30" s="35" t="s">
        <v>689</v>
      </c>
      <c r="I30" s="9"/>
      <c r="T30" s="8"/>
      <c r="U30" s="8"/>
      <c r="W30" s="8"/>
    </row>
    <row r="31" spans="2:23" ht="20.100000000000001" customHeight="1" x14ac:dyDescent="0.35">
      <c r="B31" s="8" t="s">
        <v>395</v>
      </c>
      <c r="C31" s="8">
        <v>61</v>
      </c>
      <c r="D31" s="113" t="s">
        <v>582</v>
      </c>
      <c r="G31" s="35" t="s">
        <v>581</v>
      </c>
      <c r="I31" s="9" t="s">
        <v>577</v>
      </c>
      <c r="T31" s="8"/>
      <c r="U31" s="8"/>
      <c r="W31" s="8"/>
    </row>
    <row r="32" spans="2:23" ht="20.100000000000001" customHeight="1" x14ac:dyDescent="0.35">
      <c r="B32" s="8" t="s">
        <v>397</v>
      </c>
      <c r="C32" s="8">
        <v>54</v>
      </c>
      <c r="D32" s="113" t="s">
        <v>688</v>
      </c>
      <c r="G32" s="35" t="s">
        <v>687</v>
      </c>
      <c r="I32" s="9" t="s">
        <v>577</v>
      </c>
      <c r="T32" s="8"/>
      <c r="U32" s="8"/>
      <c r="W32" s="8"/>
    </row>
    <row r="33" spans="2:23" ht="20.100000000000001" customHeight="1" x14ac:dyDescent="0.35">
      <c r="B33" s="8" t="s">
        <v>397</v>
      </c>
      <c r="C33" s="8">
        <v>65</v>
      </c>
      <c r="D33" s="113"/>
      <c r="G33" s="35" t="s">
        <v>696</v>
      </c>
      <c r="I33" s="9" t="s">
        <v>697</v>
      </c>
      <c r="T33" s="8"/>
      <c r="U33" s="8"/>
      <c r="W33" s="8"/>
    </row>
    <row r="34" spans="2:23" ht="20.100000000000001" customHeight="1" x14ac:dyDescent="0.35">
      <c r="I34" s="9"/>
      <c r="T34" s="8"/>
      <c r="U34" s="8"/>
      <c r="W34" s="8"/>
    </row>
    <row r="35" spans="2:23" ht="20.100000000000001" customHeight="1" x14ac:dyDescent="0.35">
      <c r="I35" s="9"/>
      <c r="T35" s="8"/>
      <c r="U35" s="8"/>
      <c r="W35" s="8"/>
    </row>
    <row r="36" spans="2:23" ht="20.100000000000001" customHeight="1" x14ac:dyDescent="0.35">
      <c r="I36" s="9"/>
      <c r="T36" s="8"/>
      <c r="U36" s="8"/>
      <c r="W36" s="8"/>
    </row>
    <row r="37" spans="2:23" ht="20.100000000000001" customHeight="1" x14ac:dyDescent="0.35">
      <c r="I37" s="9"/>
      <c r="T37" s="8"/>
      <c r="U37" s="8"/>
      <c r="W37" s="8"/>
    </row>
    <row r="38" spans="2:23" ht="20.100000000000001" customHeight="1" x14ac:dyDescent="0.35">
      <c r="I38" s="9"/>
      <c r="T38" s="8"/>
      <c r="U38" s="8"/>
      <c r="W38" s="8"/>
    </row>
    <row r="39" spans="2:23" ht="20.100000000000001" customHeight="1" x14ac:dyDescent="0.35">
      <c r="I39" s="9"/>
      <c r="T39" s="8"/>
      <c r="U39" s="8"/>
      <c r="W39" s="8"/>
    </row>
    <row r="40" spans="2:23" ht="20.100000000000001" customHeight="1" x14ac:dyDescent="0.35">
      <c r="I40" s="9"/>
      <c r="T40" s="8"/>
      <c r="U40" s="8"/>
      <c r="W40" s="8"/>
    </row>
    <row r="41" spans="2:23" ht="20.100000000000001" customHeight="1" x14ac:dyDescent="0.35">
      <c r="I41" s="9"/>
      <c r="T41" s="8"/>
      <c r="U41" s="8"/>
      <c r="W41" s="8"/>
    </row>
    <row r="42" spans="2:23" ht="20.100000000000001" customHeight="1" x14ac:dyDescent="0.35">
      <c r="I42" s="9"/>
      <c r="T42" s="8"/>
      <c r="U42" s="8"/>
      <c r="W42" s="8"/>
    </row>
    <row r="43" spans="2:23" ht="20.100000000000001" customHeight="1" x14ac:dyDescent="0.35">
      <c r="I43" s="9"/>
      <c r="T43" s="8"/>
      <c r="U43" s="8"/>
      <c r="W43" s="8"/>
    </row>
    <row r="44" spans="2:23" ht="20.100000000000001" customHeight="1" x14ac:dyDescent="0.35">
      <c r="I44" s="9"/>
      <c r="T44" s="8"/>
      <c r="U44" s="8"/>
      <c r="W44" s="8"/>
    </row>
    <row r="45" spans="2:23" ht="20.100000000000001" customHeight="1" x14ac:dyDescent="0.35">
      <c r="I45" s="9"/>
      <c r="T45" s="8"/>
      <c r="U45" s="8"/>
      <c r="W45" s="8"/>
    </row>
    <row r="46" spans="2:23" ht="20.100000000000001" customHeight="1" x14ac:dyDescent="0.35">
      <c r="I46" s="9"/>
      <c r="T46" s="8"/>
      <c r="U46" s="8"/>
      <c r="W46" s="8"/>
    </row>
    <row r="47" spans="2:23" ht="20.100000000000001" customHeight="1" x14ac:dyDescent="0.35">
      <c r="I47" s="9"/>
      <c r="T47" s="8"/>
      <c r="U47" s="8"/>
      <c r="W47" s="8"/>
    </row>
    <row r="48" spans="2:23" ht="20.100000000000001" customHeight="1" x14ac:dyDescent="0.35">
      <c r="I48" s="9"/>
      <c r="T48" s="8"/>
      <c r="U48" s="8"/>
      <c r="W48" s="8"/>
    </row>
    <row r="49" spans="9:23" ht="20.100000000000001" customHeight="1" x14ac:dyDescent="0.35">
      <c r="I49" s="9"/>
      <c r="T49" s="8"/>
      <c r="U49" s="8"/>
      <c r="W49" s="8"/>
    </row>
    <row r="50" spans="9:23" ht="20.100000000000001" customHeight="1" x14ac:dyDescent="0.35">
      <c r="I50" s="9"/>
      <c r="T50" s="8"/>
      <c r="U50" s="8"/>
      <c r="W50" s="8"/>
    </row>
    <row r="51" spans="9:23" ht="20.100000000000001" customHeight="1" x14ac:dyDescent="0.35">
      <c r="I51" s="9"/>
      <c r="T51" s="8"/>
      <c r="U51" s="8"/>
      <c r="W51" s="8"/>
    </row>
    <row r="52" spans="9:23" ht="20.100000000000001" customHeight="1" x14ac:dyDescent="0.35">
      <c r="I52" s="9"/>
      <c r="T52" s="8"/>
      <c r="U52" s="8"/>
      <c r="W52" s="8"/>
    </row>
    <row r="53" spans="9:23" ht="20.100000000000001" customHeight="1" x14ac:dyDescent="0.35">
      <c r="I53" s="9"/>
      <c r="T53" s="8"/>
      <c r="U53" s="8"/>
      <c r="W53" s="8"/>
    </row>
    <row r="54" spans="9:23" ht="20.100000000000001" customHeight="1" x14ac:dyDescent="0.35">
      <c r="I54" s="9"/>
      <c r="T54" s="8"/>
      <c r="U54" s="8"/>
      <c r="W54" s="8"/>
    </row>
    <row r="55" spans="9:23" ht="20.100000000000001" customHeight="1" x14ac:dyDescent="0.35">
      <c r="I55" s="9"/>
      <c r="T55" s="8"/>
      <c r="U55" s="8"/>
      <c r="W55" s="8"/>
    </row>
    <row r="56" spans="9:23" ht="20.100000000000001" customHeight="1" x14ac:dyDescent="0.35">
      <c r="I56" s="9"/>
      <c r="T56" s="8"/>
      <c r="U56" s="8"/>
      <c r="W56" s="8"/>
    </row>
    <row r="57" spans="9:23" ht="20.100000000000001" customHeight="1" x14ac:dyDescent="0.35">
      <c r="I57" s="9"/>
      <c r="T57" s="8"/>
      <c r="U57" s="8"/>
      <c r="W57" s="8"/>
    </row>
    <row r="58" spans="9:23" ht="20.100000000000001" customHeight="1" x14ac:dyDescent="0.35">
      <c r="I58" s="9"/>
      <c r="T58" s="8"/>
      <c r="U58" s="8"/>
      <c r="W58" s="8"/>
    </row>
    <row r="59" spans="9:23" ht="20.100000000000001" customHeight="1" x14ac:dyDescent="0.35">
      <c r="I59" s="9"/>
      <c r="T59" s="8"/>
      <c r="U59" s="8"/>
      <c r="W59" s="8"/>
    </row>
    <row r="60" spans="9:23" ht="20.100000000000001" customHeight="1" x14ac:dyDescent="0.35">
      <c r="I60" s="9"/>
      <c r="T60" s="8"/>
      <c r="U60" s="8"/>
      <c r="W60" s="8"/>
    </row>
    <row r="61" spans="9:23" ht="20.100000000000001" customHeight="1" x14ac:dyDescent="0.35">
      <c r="I61" s="9"/>
      <c r="T61" s="8"/>
      <c r="U61" s="8"/>
      <c r="W61" s="8"/>
    </row>
    <row r="62" spans="9:23" ht="20.100000000000001" customHeight="1" x14ac:dyDescent="0.35">
      <c r="I62" s="9"/>
      <c r="T62" s="8"/>
      <c r="U62" s="8"/>
      <c r="W62" s="8"/>
    </row>
    <row r="63" spans="9:23" ht="20.100000000000001" customHeight="1" x14ac:dyDescent="0.35">
      <c r="I63" s="9"/>
      <c r="T63" s="8"/>
      <c r="U63" s="8"/>
      <c r="W63" s="8"/>
    </row>
    <row r="64" spans="9:23" ht="20.100000000000001" customHeight="1" x14ac:dyDescent="0.35">
      <c r="I64" s="9"/>
      <c r="T64" s="8"/>
      <c r="U64" s="8"/>
      <c r="W64" s="8"/>
    </row>
    <row r="65" spans="9:23" ht="20.100000000000001" customHeight="1" x14ac:dyDescent="0.35">
      <c r="I65" s="9"/>
      <c r="T65" s="8"/>
      <c r="U65" s="8"/>
      <c r="W65" s="8"/>
    </row>
    <row r="66" spans="9:23" ht="20.100000000000001" customHeight="1" x14ac:dyDescent="0.35">
      <c r="I66" s="9"/>
      <c r="T66" s="8"/>
      <c r="U66" s="8"/>
      <c r="W66" s="8"/>
    </row>
    <row r="67" spans="9:23" ht="20.100000000000001" customHeight="1" x14ac:dyDescent="0.35">
      <c r="I67" s="9"/>
      <c r="T67" s="8"/>
      <c r="U67" s="8"/>
      <c r="W67" s="8"/>
    </row>
    <row r="68" spans="9:23" ht="20.100000000000001" customHeight="1" x14ac:dyDescent="0.35">
      <c r="I68" s="9"/>
      <c r="T68" s="8"/>
      <c r="U68" s="8"/>
      <c r="W68" s="8"/>
    </row>
    <row r="69" spans="9:23" ht="20.100000000000001" customHeight="1" x14ac:dyDescent="0.35">
      <c r="I69" s="9"/>
      <c r="T69" s="8"/>
      <c r="U69" s="8"/>
      <c r="W69" s="8"/>
    </row>
    <row r="70" spans="9:23" ht="20.100000000000001" customHeight="1" x14ac:dyDescent="0.35">
      <c r="I70" s="9"/>
      <c r="T70" s="8"/>
      <c r="U70" s="8"/>
      <c r="W70" s="8"/>
    </row>
    <row r="71" spans="9:23" ht="20.100000000000001" customHeight="1" x14ac:dyDescent="0.35">
      <c r="I71" s="9"/>
      <c r="T71" s="8"/>
      <c r="U71" s="8"/>
      <c r="W71" s="8"/>
    </row>
    <row r="72" spans="9:23" ht="20.100000000000001" customHeight="1" x14ac:dyDescent="0.35">
      <c r="I72" s="9"/>
      <c r="T72" s="8"/>
      <c r="U72" s="8"/>
      <c r="W72" s="8"/>
    </row>
    <row r="73" spans="9:23" ht="20.100000000000001" customHeight="1" x14ac:dyDescent="0.35">
      <c r="I73" s="9"/>
      <c r="T73" s="8"/>
      <c r="U73" s="8"/>
      <c r="W73" s="8"/>
    </row>
    <row r="74" spans="9:23" ht="20.100000000000001" customHeight="1" x14ac:dyDescent="0.35">
      <c r="I74" s="9"/>
      <c r="T74" s="8"/>
      <c r="U74" s="8"/>
      <c r="W74" s="8"/>
    </row>
    <row r="75" spans="9:23" ht="20.100000000000001" customHeight="1" x14ac:dyDescent="0.35">
      <c r="I75" s="9"/>
      <c r="T75" s="8"/>
      <c r="U75" s="8"/>
      <c r="W75" s="8"/>
    </row>
    <row r="76" spans="9:23" ht="20.100000000000001" customHeight="1" x14ac:dyDescent="0.35">
      <c r="I76" s="9"/>
      <c r="T76" s="8"/>
      <c r="U76" s="8"/>
      <c r="W76" s="8"/>
    </row>
    <row r="77" spans="9:23" ht="20.100000000000001" customHeight="1" x14ac:dyDescent="0.35">
      <c r="I77" s="9"/>
      <c r="T77" s="8"/>
      <c r="U77" s="8"/>
      <c r="W77" s="8"/>
    </row>
    <row r="78" spans="9:23" ht="20.100000000000001" customHeight="1" x14ac:dyDescent="0.35">
      <c r="I78" s="9"/>
      <c r="T78" s="8"/>
      <c r="U78" s="8"/>
      <c r="W78" s="8"/>
    </row>
    <row r="79" spans="9:23" ht="20.100000000000001" customHeight="1" x14ac:dyDescent="0.35">
      <c r="I79" s="9"/>
      <c r="T79" s="8"/>
      <c r="U79" s="8"/>
      <c r="W79" s="8"/>
    </row>
    <row r="80" spans="9:23" ht="20.100000000000001" customHeight="1" x14ac:dyDescent="0.35">
      <c r="I80" s="9"/>
      <c r="T80" s="8"/>
      <c r="U80" s="8"/>
      <c r="W80" s="8"/>
    </row>
    <row r="81" spans="9:23" ht="20.100000000000001" customHeight="1" x14ac:dyDescent="0.35">
      <c r="I81" s="9"/>
      <c r="T81" s="8"/>
      <c r="U81" s="8"/>
      <c r="W81" s="8"/>
    </row>
    <row r="82" spans="9:23" ht="20.100000000000001" customHeight="1" x14ac:dyDescent="0.35">
      <c r="I82" s="9"/>
      <c r="T82" s="8"/>
      <c r="U82" s="8"/>
      <c r="W82" s="8"/>
    </row>
    <row r="83" spans="9:23" ht="20.100000000000001" customHeight="1" x14ac:dyDescent="0.35">
      <c r="I83" s="9"/>
      <c r="T83" s="8"/>
      <c r="U83" s="8"/>
      <c r="W83" s="8"/>
    </row>
    <row r="84" spans="9:23" ht="20.100000000000001" customHeight="1" x14ac:dyDescent="0.35">
      <c r="I84" s="9"/>
      <c r="T84" s="8"/>
      <c r="U84" s="8"/>
      <c r="W84" s="8"/>
    </row>
    <row r="85" spans="9:23" ht="20.100000000000001" customHeight="1" x14ac:dyDescent="0.35">
      <c r="I85" s="9"/>
      <c r="T85" s="8"/>
      <c r="U85" s="8"/>
      <c r="W85" s="8"/>
    </row>
    <row r="86" spans="9:23" ht="20.100000000000001" customHeight="1" x14ac:dyDescent="0.35">
      <c r="I86" s="9"/>
      <c r="T86" s="8"/>
      <c r="U86" s="8"/>
      <c r="W86" s="8"/>
    </row>
    <row r="87" spans="9:23" ht="20.100000000000001" customHeight="1" x14ac:dyDescent="0.35">
      <c r="I87" s="9"/>
      <c r="T87" s="8"/>
      <c r="U87" s="8"/>
      <c r="W87" s="8"/>
    </row>
    <row r="88" spans="9:23" ht="20.100000000000001" customHeight="1" x14ac:dyDescent="0.35">
      <c r="I88" s="9"/>
      <c r="T88" s="8"/>
      <c r="U88" s="8"/>
      <c r="W88" s="8"/>
    </row>
    <row r="89" spans="9:23" ht="20.100000000000001" customHeight="1" x14ac:dyDescent="0.35">
      <c r="I89" s="9"/>
      <c r="T89" s="8"/>
      <c r="U89" s="8"/>
      <c r="W89" s="8"/>
    </row>
    <row r="90" spans="9:23" ht="20.100000000000001" customHeight="1" x14ac:dyDescent="0.35">
      <c r="I90" s="9"/>
      <c r="T90" s="8"/>
      <c r="U90" s="8"/>
      <c r="W90" s="8"/>
    </row>
    <row r="91" spans="9:23" ht="20.100000000000001" customHeight="1" x14ac:dyDescent="0.35">
      <c r="I91" s="9"/>
      <c r="T91" s="8"/>
      <c r="U91" s="8"/>
      <c r="W91" s="8"/>
    </row>
    <row r="92" spans="9:23" ht="20.100000000000001" customHeight="1" x14ac:dyDescent="0.35">
      <c r="I92" s="9"/>
      <c r="T92" s="8"/>
      <c r="U92" s="8"/>
      <c r="W92" s="8"/>
    </row>
    <row r="93" spans="9:23" ht="20.100000000000001" customHeight="1" x14ac:dyDescent="0.35">
      <c r="I93" s="9"/>
      <c r="T93" s="8"/>
      <c r="U93" s="8"/>
      <c r="W93" s="8"/>
    </row>
    <row r="94" spans="9:23" ht="20.100000000000001" customHeight="1" x14ac:dyDescent="0.35">
      <c r="I94" s="9"/>
      <c r="T94" s="8"/>
      <c r="U94" s="8"/>
      <c r="W94" s="8"/>
    </row>
    <row r="95" spans="9:23" ht="20.100000000000001" customHeight="1" x14ac:dyDescent="0.35">
      <c r="I95" s="9"/>
      <c r="T95" s="8"/>
      <c r="U95" s="8"/>
      <c r="W95" s="8"/>
    </row>
    <row r="96" spans="9:23" ht="20.100000000000001" customHeight="1" x14ac:dyDescent="0.35">
      <c r="I96" s="9"/>
      <c r="T96" s="8"/>
      <c r="U96" s="8"/>
      <c r="W96" s="8"/>
    </row>
    <row r="97" spans="9:23" ht="20.100000000000001" customHeight="1" x14ac:dyDescent="0.35">
      <c r="I97" s="9"/>
      <c r="T97" s="8"/>
      <c r="U97" s="8"/>
      <c r="W97" s="8"/>
    </row>
    <row r="98" spans="9:23" ht="20.100000000000001" customHeight="1" x14ac:dyDescent="0.35">
      <c r="I98" s="9"/>
      <c r="T98" s="8"/>
      <c r="U98" s="8"/>
      <c r="W98" s="8"/>
    </row>
    <row r="99" spans="9:23" ht="20.100000000000001" customHeight="1" x14ac:dyDescent="0.35">
      <c r="I99" s="9"/>
      <c r="T99" s="8"/>
      <c r="U99" s="8"/>
      <c r="W99" s="8"/>
    </row>
    <row r="100" spans="9:23" ht="20.100000000000001" customHeight="1" x14ac:dyDescent="0.35"/>
  </sheetData>
  <sheetProtection sheet="1" objects="1" scenarios="1"/>
  <sortState xmlns:xlrd2="http://schemas.microsoft.com/office/spreadsheetml/2017/richdata2" ref="A3:W33">
    <sortCondition ref="B3"/>
  </sortState>
  <mergeCells count="1">
    <mergeCell ref="A1:J1"/>
  </mergeCells>
  <printOptions horizontalCentered="1"/>
  <pageMargins left="0.47244094488188981" right="0.23622047244094491" top="0.74803149606299213" bottom="0.74803149606299213" header="0" footer="0"/>
  <pageSetup paperSize="9" orientation="landscape" horizontalDpi="4294967293" r:id="rId1"/>
  <headerFooter>
    <oddHeader>&amp;C&amp;"Arial Black"&amp;20Grand prix Oyeu-Burcin 2026</oddHeader>
    <oddFooter>&amp;C&amp;"Arial"&amp;G&amp;12AB =&gt; abandon        NC =&gt; non classé, arrivée en peloton        NP =&gt; non partant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2">
    <tabColor rgb="FF99CC00"/>
  </sheetPr>
  <dimension ref="A1:W100"/>
  <sheetViews>
    <sheetView showGridLines="0" showRowColHeaders="0" topLeftCell="B1" workbookViewId="0">
      <selection sqref="A1:J1"/>
    </sheetView>
  </sheetViews>
  <sheetFormatPr baseColWidth="10" defaultColWidth="11.59765625" defaultRowHeight="12.75" x14ac:dyDescent="0.35"/>
  <cols>
    <col min="1" max="1" width="9.265625" style="8" hidden="1" customWidth="1"/>
    <col min="2" max="2" width="11.73046875" style="8" customWidth="1"/>
    <col min="3" max="3" width="10.59765625" style="8" bestFit="1" customWidth="1"/>
    <col min="4" max="4" width="16" style="35" hidden="1" customWidth="1"/>
    <col min="5" max="5" width="13" style="8" bestFit="1" customWidth="1"/>
    <col min="6" max="6" width="8.3984375" style="8" customWidth="1"/>
    <col min="7" max="7" width="19.3984375" style="35" customWidth="1"/>
    <col min="8" max="8" width="18.1328125" style="35" customWidth="1"/>
    <col min="9" max="9" width="43.265625" style="8" customWidth="1"/>
    <col min="10" max="10" width="14.86328125" style="9" customWidth="1"/>
    <col min="11" max="16384" width="11.59765625" style="9"/>
  </cols>
  <sheetData>
    <row r="1" spans="1:23" s="29" customFormat="1" ht="35.1" customHeight="1" x14ac:dyDescent="0.35">
      <c r="A1" s="127" t="s">
        <v>156</v>
      </c>
      <c r="B1" s="127"/>
      <c r="C1" s="127"/>
      <c r="D1" s="127"/>
      <c r="E1" s="127"/>
      <c r="F1" s="127"/>
      <c r="G1" s="127"/>
      <c r="H1" s="127"/>
      <c r="I1" s="127"/>
      <c r="J1" s="127"/>
    </row>
    <row r="2" spans="1:23" s="34" customFormat="1" ht="24.95" customHeight="1" x14ac:dyDescent="0.35">
      <c r="B2" s="34" t="s">
        <v>152</v>
      </c>
      <c r="C2" s="34" t="s">
        <v>140</v>
      </c>
      <c r="D2" s="36" t="s">
        <v>141</v>
      </c>
      <c r="E2" s="34" t="s">
        <v>144</v>
      </c>
      <c r="F2" s="34" t="s">
        <v>162</v>
      </c>
      <c r="G2" s="34" t="s">
        <v>142</v>
      </c>
      <c r="H2" s="37" t="s">
        <v>192</v>
      </c>
      <c r="I2" s="37" t="s">
        <v>1</v>
      </c>
      <c r="J2" s="38" t="s">
        <v>165</v>
      </c>
      <c r="K2" s="29"/>
      <c r="L2" s="29"/>
      <c r="M2" s="29"/>
      <c r="N2" s="29"/>
      <c r="O2" s="29"/>
      <c r="P2" s="29"/>
      <c r="Q2" s="29"/>
      <c r="R2" s="29"/>
      <c r="S2" s="29"/>
      <c r="T2" s="28"/>
      <c r="U2" s="28"/>
      <c r="V2" s="29"/>
    </row>
    <row r="3" spans="1:23" ht="20.100000000000001" customHeight="1" x14ac:dyDescent="0.35">
      <c r="B3" s="8">
        <v>1</v>
      </c>
      <c r="C3" s="8">
        <v>62</v>
      </c>
      <c r="D3" s="113" t="s">
        <v>725</v>
      </c>
      <c r="G3" s="35" t="s">
        <v>757</v>
      </c>
      <c r="I3" s="9" t="s">
        <v>596</v>
      </c>
      <c r="T3" s="8"/>
      <c r="U3" s="8"/>
      <c r="W3" s="8"/>
    </row>
    <row r="4" spans="1:23" ht="20.100000000000001" customHeight="1" x14ac:dyDescent="0.35">
      <c r="B4" s="8">
        <v>2</v>
      </c>
      <c r="C4" s="8">
        <v>61</v>
      </c>
      <c r="D4" s="113" t="s">
        <v>610</v>
      </c>
      <c r="G4" s="35" t="s">
        <v>609</v>
      </c>
      <c r="I4" s="9" t="s">
        <v>596</v>
      </c>
      <c r="T4" s="8"/>
      <c r="U4" s="8"/>
      <c r="W4" s="8"/>
    </row>
    <row r="5" spans="1:23" ht="20.100000000000001" customHeight="1" x14ac:dyDescent="0.35">
      <c r="B5" s="8">
        <v>3</v>
      </c>
      <c r="C5" s="8">
        <v>52</v>
      </c>
      <c r="D5" s="113" t="s">
        <v>717</v>
      </c>
      <c r="G5" s="35" t="s">
        <v>715</v>
      </c>
      <c r="I5" s="9" t="s">
        <v>716</v>
      </c>
      <c r="T5" s="8"/>
      <c r="U5" s="8"/>
      <c r="W5" s="8"/>
    </row>
    <row r="6" spans="1:23" ht="20.100000000000001" customHeight="1" x14ac:dyDescent="0.35">
      <c r="B6" s="8">
        <v>4</v>
      </c>
      <c r="C6" s="8">
        <v>69</v>
      </c>
      <c r="D6" s="113" t="s">
        <v>617</v>
      </c>
      <c r="G6" s="35" t="s">
        <v>616</v>
      </c>
      <c r="I6" s="9" t="s">
        <v>563</v>
      </c>
      <c r="T6" s="8"/>
      <c r="U6" s="8"/>
      <c r="W6" s="8"/>
    </row>
    <row r="7" spans="1:23" ht="20.100000000000001" customHeight="1" x14ac:dyDescent="0.35">
      <c r="B7" s="8">
        <v>5</v>
      </c>
      <c r="C7" s="8">
        <v>76</v>
      </c>
      <c r="D7" s="113" t="s">
        <v>628</v>
      </c>
      <c r="G7" s="35" t="s">
        <v>627</v>
      </c>
      <c r="I7" s="9" t="s">
        <v>577</v>
      </c>
      <c r="T7" s="8"/>
      <c r="U7" s="8"/>
      <c r="W7" s="8"/>
    </row>
    <row r="8" spans="1:23" ht="20.100000000000001" customHeight="1" x14ac:dyDescent="0.35">
      <c r="B8" s="8">
        <v>6</v>
      </c>
      <c r="C8" s="8">
        <v>67</v>
      </c>
      <c r="D8" s="113" t="s">
        <v>90</v>
      </c>
      <c r="G8" s="35" t="s">
        <v>615</v>
      </c>
      <c r="I8" s="9" t="s">
        <v>563</v>
      </c>
      <c r="T8" s="8"/>
      <c r="U8" s="8"/>
      <c r="W8" s="8"/>
    </row>
    <row r="9" spans="1:23" ht="20.100000000000001" customHeight="1" x14ac:dyDescent="0.35">
      <c r="B9" s="8">
        <v>7</v>
      </c>
      <c r="C9" s="8">
        <v>73</v>
      </c>
      <c r="D9" s="113" t="s">
        <v>483</v>
      </c>
      <c r="G9" s="35" t="s">
        <v>622</v>
      </c>
      <c r="I9" s="9" t="s">
        <v>577</v>
      </c>
      <c r="T9" s="8"/>
      <c r="U9" s="8"/>
      <c r="W9" s="8"/>
    </row>
    <row r="10" spans="1:23" ht="20.100000000000001" customHeight="1" x14ac:dyDescent="0.35">
      <c r="B10" s="8">
        <v>8</v>
      </c>
      <c r="C10" s="8">
        <v>68</v>
      </c>
      <c r="D10" s="113" t="s">
        <v>729</v>
      </c>
      <c r="G10" s="35" t="s">
        <v>728</v>
      </c>
      <c r="I10" s="9" t="s">
        <v>41</v>
      </c>
      <c r="T10" s="8"/>
      <c r="U10" s="8"/>
      <c r="W10" s="8"/>
    </row>
    <row r="11" spans="1:23" ht="20.100000000000001" customHeight="1" x14ac:dyDescent="0.35">
      <c r="B11" s="8">
        <v>9</v>
      </c>
      <c r="C11" s="8">
        <v>60</v>
      </c>
      <c r="D11" s="113" t="s">
        <v>606</v>
      </c>
      <c r="G11" s="35" t="s">
        <v>605</v>
      </c>
      <c r="I11" s="9" t="s">
        <v>563</v>
      </c>
      <c r="T11" s="8"/>
      <c r="U11" s="8"/>
      <c r="W11" s="8"/>
    </row>
    <row r="12" spans="1:23" ht="20.100000000000001" customHeight="1" x14ac:dyDescent="0.35">
      <c r="B12" s="8">
        <v>10</v>
      </c>
      <c r="C12" s="8">
        <v>55</v>
      </c>
      <c r="D12" s="113"/>
      <c r="G12" s="35" t="s">
        <v>720</v>
      </c>
      <c r="I12" s="9" t="s">
        <v>563</v>
      </c>
      <c r="T12" s="8"/>
      <c r="U12" s="8"/>
      <c r="W12" s="8"/>
    </row>
    <row r="13" spans="1:23" ht="20.100000000000001" customHeight="1" x14ac:dyDescent="0.35">
      <c r="B13" s="8">
        <v>11</v>
      </c>
      <c r="C13" s="8">
        <v>54</v>
      </c>
      <c r="D13" s="113" t="s">
        <v>599</v>
      </c>
      <c r="G13" s="35" t="s">
        <v>598</v>
      </c>
      <c r="I13" s="9" t="s">
        <v>596</v>
      </c>
      <c r="T13" s="8"/>
      <c r="U13" s="8"/>
      <c r="W13" s="8"/>
    </row>
    <row r="14" spans="1:23" ht="20.100000000000001" customHeight="1" x14ac:dyDescent="0.35">
      <c r="B14" s="8">
        <v>12</v>
      </c>
      <c r="C14" s="8">
        <v>71</v>
      </c>
      <c r="D14" s="113"/>
      <c r="G14" s="35" t="s">
        <v>619</v>
      </c>
      <c r="I14" s="9" t="s">
        <v>573</v>
      </c>
      <c r="T14" s="8"/>
      <c r="U14" s="8"/>
      <c r="W14" s="8"/>
    </row>
    <row r="15" spans="1:23" ht="20.100000000000001" customHeight="1" x14ac:dyDescent="0.35">
      <c r="B15" s="8">
        <v>13</v>
      </c>
      <c r="C15" s="8">
        <v>58</v>
      </c>
      <c r="D15" s="113"/>
      <c r="G15" s="35" t="s">
        <v>604</v>
      </c>
      <c r="I15" s="9" t="s">
        <v>579</v>
      </c>
      <c r="T15" s="8"/>
      <c r="U15" s="8"/>
      <c r="W15" s="8"/>
    </row>
    <row r="16" spans="1:23" ht="20.100000000000001" customHeight="1" x14ac:dyDescent="0.35">
      <c r="B16" s="8">
        <v>14</v>
      </c>
      <c r="C16" s="8">
        <v>77</v>
      </c>
      <c r="D16" s="113" t="s">
        <v>631</v>
      </c>
      <c r="G16" s="115" t="s">
        <v>630</v>
      </c>
      <c r="I16" s="9" t="s">
        <v>3</v>
      </c>
      <c r="T16" s="8"/>
      <c r="U16" s="8"/>
      <c r="V16" s="116"/>
      <c r="W16" s="8"/>
    </row>
    <row r="17" spans="2:23" ht="20.100000000000001" customHeight="1" x14ac:dyDescent="0.35">
      <c r="B17" s="8">
        <v>15</v>
      </c>
      <c r="C17" s="8">
        <v>57</v>
      </c>
      <c r="D17" s="113" t="s">
        <v>635</v>
      </c>
      <c r="G17" s="35" t="s">
        <v>634</v>
      </c>
      <c r="I17" s="9" t="s">
        <v>564</v>
      </c>
      <c r="T17" s="8"/>
      <c r="U17" s="8"/>
      <c r="W17" s="8"/>
    </row>
    <row r="18" spans="2:23" ht="20.100000000000001" customHeight="1" x14ac:dyDescent="0.35">
      <c r="B18" s="8">
        <v>16</v>
      </c>
      <c r="C18" s="8">
        <v>75</v>
      </c>
      <c r="D18" s="113" t="s">
        <v>731</v>
      </c>
      <c r="G18" s="35" t="s">
        <v>730</v>
      </c>
      <c r="I18" s="9" t="s">
        <v>577</v>
      </c>
      <c r="T18" s="8"/>
      <c r="U18" s="8"/>
      <c r="W18" s="8"/>
    </row>
    <row r="19" spans="2:23" ht="20.100000000000001" customHeight="1" x14ac:dyDescent="0.35">
      <c r="B19" s="8">
        <v>17</v>
      </c>
      <c r="C19" s="8">
        <v>74</v>
      </c>
      <c r="D19" s="113" t="s">
        <v>624</v>
      </c>
      <c r="G19" s="35" t="s">
        <v>623</v>
      </c>
      <c r="I19" s="9" t="s">
        <v>563</v>
      </c>
      <c r="T19" s="8"/>
      <c r="U19" s="8"/>
      <c r="W19" s="8"/>
    </row>
    <row r="20" spans="2:23" ht="20.100000000000001" customHeight="1" x14ac:dyDescent="0.35">
      <c r="B20" s="8">
        <v>18</v>
      </c>
      <c r="C20" s="8">
        <v>59</v>
      </c>
      <c r="D20" s="113" t="s">
        <v>723</v>
      </c>
      <c r="G20" s="35" t="s">
        <v>756</v>
      </c>
      <c r="I20" s="9" t="s">
        <v>596</v>
      </c>
      <c r="T20" s="8"/>
      <c r="U20" s="8"/>
      <c r="W20" s="8"/>
    </row>
    <row r="21" spans="2:23" ht="20.100000000000001" customHeight="1" x14ac:dyDescent="0.35">
      <c r="B21" s="8">
        <v>19</v>
      </c>
      <c r="C21" s="8">
        <v>66</v>
      </c>
      <c r="D21" s="113" t="s">
        <v>614</v>
      </c>
      <c r="G21" s="35" t="s">
        <v>613</v>
      </c>
      <c r="I21" s="9" t="s">
        <v>580</v>
      </c>
      <c r="T21" s="8"/>
      <c r="U21" s="8"/>
      <c r="W21" s="8"/>
    </row>
    <row r="22" spans="2:23" ht="20.100000000000001" customHeight="1" x14ac:dyDescent="0.35">
      <c r="B22" s="8">
        <v>20</v>
      </c>
      <c r="C22" s="8">
        <v>72</v>
      </c>
      <c r="D22" s="113" t="s">
        <v>621</v>
      </c>
      <c r="G22" s="35" t="s">
        <v>620</v>
      </c>
      <c r="I22" s="9" t="s">
        <v>577</v>
      </c>
      <c r="T22" s="8"/>
      <c r="U22" s="8"/>
      <c r="W22" s="8"/>
    </row>
    <row r="23" spans="2:23" ht="20.100000000000001" customHeight="1" x14ac:dyDescent="0.35">
      <c r="B23" s="8">
        <v>21</v>
      </c>
      <c r="C23" s="8">
        <v>70</v>
      </c>
      <c r="D23" s="113" t="s">
        <v>93</v>
      </c>
      <c r="G23" s="35" t="s">
        <v>618</v>
      </c>
      <c r="I23" s="9" t="s">
        <v>577</v>
      </c>
      <c r="T23" s="8"/>
      <c r="U23" s="8"/>
      <c r="W23" s="8"/>
    </row>
    <row r="24" spans="2:23" ht="20.100000000000001" customHeight="1" x14ac:dyDescent="0.35">
      <c r="B24" s="8">
        <v>22</v>
      </c>
      <c r="C24" s="8">
        <v>56</v>
      </c>
      <c r="D24" s="113" t="s">
        <v>44</v>
      </c>
      <c r="G24" s="35" t="s">
        <v>721</v>
      </c>
      <c r="I24" s="9" t="s">
        <v>580</v>
      </c>
      <c r="T24" s="8"/>
      <c r="U24" s="8"/>
      <c r="W24" s="8"/>
    </row>
    <row r="25" spans="2:23" ht="20.100000000000001" customHeight="1" x14ac:dyDescent="0.35">
      <c r="B25" s="8">
        <v>23</v>
      </c>
      <c r="C25" s="8">
        <v>63</v>
      </c>
      <c r="D25" s="113" t="s">
        <v>727</v>
      </c>
      <c r="G25" s="35" t="s">
        <v>726</v>
      </c>
      <c r="I25" s="9" t="s">
        <v>564</v>
      </c>
      <c r="T25" s="8"/>
      <c r="U25" s="8"/>
      <c r="W25" s="8"/>
    </row>
    <row r="26" spans="2:23" ht="20.100000000000001" customHeight="1" x14ac:dyDescent="0.35">
      <c r="B26" s="8">
        <v>24</v>
      </c>
      <c r="C26" s="8">
        <v>51</v>
      </c>
      <c r="D26" s="113" t="s">
        <v>714</v>
      </c>
      <c r="G26" s="35" t="s">
        <v>713</v>
      </c>
      <c r="I26" s="9" t="s">
        <v>577</v>
      </c>
      <c r="T26" s="8"/>
      <c r="U26" s="8"/>
      <c r="W26" s="8"/>
    </row>
    <row r="27" spans="2:23" ht="20.100000000000001" customHeight="1" x14ac:dyDescent="0.35">
      <c r="B27" s="8">
        <v>25</v>
      </c>
      <c r="C27" s="8">
        <v>53</v>
      </c>
      <c r="D27" s="113" t="s">
        <v>719</v>
      </c>
      <c r="G27" s="35" t="s">
        <v>718</v>
      </c>
      <c r="I27" s="9" t="s">
        <v>564</v>
      </c>
      <c r="T27" s="8"/>
      <c r="U27" s="8"/>
      <c r="W27" s="8"/>
    </row>
    <row r="28" spans="2:23" ht="20.100000000000001" customHeight="1" x14ac:dyDescent="0.35">
      <c r="B28" s="8">
        <v>26</v>
      </c>
      <c r="C28" s="8">
        <v>64</v>
      </c>
      <c r="D28" s="113"/>
      <c r="G28" s="35" t="s">
        <v>611</v>
      </c>
      <c r="I28" s="9"/>
      <c r="T28" s="8"/>
      <c r="U28" s="8"/>
      <c r="W28" s="8"/>
    </row>
    <row r="29" spans="2:23" ht="20.100000000000001" customHeight="1" x14ac:dyDescent="0.35">
      <c r="B29" s="8">
        <v>27</v>
      </c>
      <c r="C29" s="8">
        <v>65</v>
      </c>
      <c r="D29" s="113"/>
      <c r="G29" s="35" t="s">
        <v>612</v>
      </c>
      <c r="I29" s="9"/>
      <c r="T29" s="8"/>
      <c r="U29" s="8"/>
      <c r="W29" s="8"/>
    </row>
    <row r="30" spans="2:23" ht="20.100000000000001" customHeight="1" x14ac:dyDescent="0.35">
      <c r="B30" s="8" t="s">
        <v>395</v>
      </c>
      <c r="C30" s="8">
        <v>78</v>
      </c>
      <c r="D30" s="113" t="s">
        <v>733</v>
      </c>
      <c r="G30" s="35" t="s">
        <v>758</v>
      </c>
      <c r="I30" s="9" t="s">
        <v>563</v>
      </c>
      <c r="T30" s="8"/>
      <c r="U30" s="8"/>
      <c r="W30" s="8"/>
    </row>
    <row r="31" spans="2:23" ht="20.100000000000001" customHeight="1" x14ac:dyDescent="0.35">
      <c r="D31" s="113"/>
      <c r="I31" s="9"/>
      <c r="T31" s="8"/>
      <c r="U31" s="8"/>
      <c r="W31" s="8"/>
    </row>
    <row r="32" spans="2:23" ht="20.100000000000001" customHeight="1" x14ac:dyDescent="0.35">
      <c r="D32" s="113"/>
      <c r="I32" s="9"/>
      <c r="T32" s="8"/>
      <c r="U32" s="8"/>
      <c r="W32" s="8"/>
    </row>
    <row r="33" spans="4:23" ht="20.100000000000001" customHeight="1" x14ac:dyDescent="0.35">
      <c r="D33" s="113"/>
      <c r="I33" s="9"/>
      <c r="T33" s="8"/>
      <c r="U33" s="8"/>
      <c r="W33" s="8"/>
    </row>
    <row r="34" spans="4:23" ht="20.100000000000001" customHeight="1" x14ac:dyDescent="0.35">
      <c r="D34" s="113"/>
      <c r="I34" s="9"/>
      <c r="T34" s="8"/>
      <c r="U34" s="8"/>
      <c r="W34" s="8"/>
    </row>
    <row r="35" spans="4:23" ht="20.100000000000001" customHeight="1" x14ac:dyDescent="0.35">
      <c r="D35" s="113"/>
      <c r="I35" s="9"/>
      <c r="T35" s="8"/>
      <c r="U35" s="8"/>
      <c r="W35" s="8"/>
    </row>
    <row r="36" spans="4:23" ht="20.100000000000001" customHeight="1" x14ac:dyDescent="0.35">
      <c r="D36" s="113"/>
      <c r="I36" s="9"/>
      <c r="T36" s="8"/>
      <c r="U36" s="8"/>
      <c r="W36" s="8"/>
    </row>
    <row r="37" spans="4:23" ht="20.100000000000001" customHeight="1" x14ac:dyDescent="0.35">
      <c r="D37" s="113"/>
      <c r="I37" s="9"/>
      <c r="T37" s="8"/>
      <c r="U37" s="8"/>
      <c r="W37" s="8"/>
    </row>
    <row r="38" spans="4:23" ht="20.100000000000001" customHeight="1" x14ac:dyDescent="0.35">
      <c r="D38" s="113"/>
      <c r="I38" s="9"/>
      <c r="T38" s="8"/>
      <c r="U38" s="8"/>
      <c r="W38" s="8"/>
    </row>
    <row r="39" spans="4:23" ht="20.100000000000001" customHeight="1" x14ac:dyDescent="0.35">
      <c r="D39" s="113"/>
      <c r="I39" s="9"/>
      <c r="T39" s="8"/>
      <c r="U39" s="8"/>
      <c r="W39" s="8"/>
    </row>
    <row r="40" spans="4:23" ht="20.100000000000001" customHeight="1" x14ac:dyDescent="0.35">
      <c r="D40" s="113"/>
      <c r="I40" s="9"/>
      <c r="T40" s="8"/>
      <c r="U40" s="8"/>
      <c r="W40" s="8"/>
    </row>
    <row r="41" spans="4:23" ht="20.100000000000001" customHeight="1" x14ac:dyDescent="0.35">
      <c r="D41" s="113"/>
      <c r="I41" s="9"/>
      <c r="T41" s="8"/>
      <c r="U41" s="8"/>
      <c r="W41" s="8"/>
    </row>
    <row r="42" spans="4:23" ht="20.100000000000001" customHeight="1" x14ac:dyDescent="0.35">
      <c r="D42" s="113"/>
      <c r="H42" s="115"/>
      <c r="I42" s="9"/>
      <c r="T42" s="8"/>
      <c r="U42" s="8"/>
      <c r="W42" s="8"/>
    </row>
    <row r="43" spans="4:23" ht="20.100000000000001" customHeight="1" x14ac:dyDescent="0.35">
      <c r="D43" s="113"/>
      <c r="I43" s="9"/>
      <c r="T43" s="8"/>
      <c r="U43" s="8"/>
      <c r="W43" s="8"/>
    </row>
    <row r="44" spans="4:23" ht="20.100000000000001" customHeight="1" x14ac:dyDescent="0.35">
      <c r="D44" s="113"/>
      <c r="I44" s="9"/>
      <c r="T44" s="8"/>
      <c r="U44" s="8"/>
      <c r="W44" s="8"/>
    </row>
    <row r="45" spans="4:23" ht="20.100000000000001" customHeight="1" x14ac:dyDescent="0.35">
      <c r="D45" s="113"/>
      <c r="I45" s="9"/>
      <c r="T45" s="8"/>
      <c r="U45" s="114"/>
      <c r="W45" s="8"/>
    </row>
    <row r="46" spans="4:23" ht="20.100000000000001" customHeight="1" x14ac:dyDescent="0.35">
      <c r="D46" s="113"/>
      <c r="I46" s="9"/>
      <c r="T46" s="8"/>
      <c r="U46" s="8"/>
      <c r="W46" s="8"/>
    </row>
    <row r="47" spans="4:23" ht="20.100000000000001" customHeight="1" x14ac:dyDescent="0.35">
      <c r="D47" s="113"/>
      <c r="I47" s="9"/>
      <c r="T47" s="8"/>
      <c r="U47" s="8"/>
      <c r="W47" s="8"/>
    </row>
    <row r="48" spans="4:23" ht="20.100000000000001" customHeight="1" x14ac:dyDescent="0.35">
      <c r="D48" s="113"/>
      <c r="I48" s="9"/>
      <c r="T48" s="8"/>
      <c r="U48" s="8"/>
      <c r="W48" s="8"/>
    </row>
    <row r="49" spans="4:23" ht="20.100000000000001" customHeight="1" x14ac:dyDescent="0.35">
      <c r="D49" s="113"/>
      <c r="I49" s="9"/>
      <c r="T49" s="8"/>
      <c r="U49" s="8"/>
      <c r="W49" s="8"/>
    </row>
    <row r="50" spans="4:23" ht="20.100000000000001" customHeight="1" x14ac:dyDescent="0.35">
      <c r="D50" s="113"/>
      <c r="I50" s="9"/>
      <c r="T50" s="8"/>
      <c r="U50" s="8"/>
      <c r="W50" s="8"/>
    </row>
    <row r="51" spans="4:23" ht="20.100000000000001" customHeight="1" x14ac:dyDescent="0.35">
      <c r="D51" s="113"/>
      <c r="I51" s="9"/>
      <c r="T51" s="8"/>
      <c r="U51" s="8"/>
      <c r="W51" s="8"/>
    </row>
    <row r="52" spans="4:23" ht="20.100000000000001" customHeight="1" x14ac:dyDescent="0.35">
      <c r="D52" s="113"/>
      <c r="I52" s="9"/>
      <c r="T52" s="8"/>
      <c r="U52" s="8"/>
      <c r="W52" s="8"/>
    </row>
    <row r="53" spans="4:23" ht="20.100000000000001" customHeight="1" x14ac:dyDescent="0.35">
      <c r="D53" s="113"/>
      <c r="I53" s="9"/>
      <c r="T53" s="8"/>
      <c r="U53" s="8"/>
      <c r="W53" s="8"/>
    </row>
    <row r="54" spans="4:23" ht="20.100000000000001" customHeight="1" x14ac:dyDescent="0.35">
      <c r="D54" s="113"/>
      <c r="I54" s="9"/>
      <c r="T54" s="8"/>
      <c r="U54" s="8"/>
      <c r="W54" s="8"/>
    </row>
    <row r="55" spans="4:23" ht="20.100000000000001" customHeight="1" x14ac:dyDescent="0.35">
      <c r="D55" s="113"/>
      <c r="I55" s="9"/>
      <c r="T55" s="8"/>
      <c r="U55" s="8"/>
      <c r="W55" s="8"/>
    </row>
    <row r="56" spans="4:23" ht="20.100000000000001" customHeight="1" x14ac:dyDescent="0.35">
      <c r="D56" s="113"/>
      <c r="I56" s="9"/>
      <c r="T56" s="8"/>
      <c r="U56" s="8"/>
      <c r="W56" s="8"/>
    </row>
    <row r="57" spans="4:23" ht="20.100000000000001" customHeight="1" x14ac:dyDescent="0.35">
      <c r="D57" s="113"/>
      <c r="I57" s="9"/>
      <c r="T57" s="8"/>
      <c r="U57" s="8"/>
      <c r="W57" s="8"/>
    </row>
    <row r="58" spans="4:23" ht="20.100000000000001" customHeight="1" x14ac:dyDescent="0.35">
      <c r="D58" s="113"/>
      <c r="I58" s="9"/>
      <c r="T58" s="8"/>
      <c r="U58" s="8"/>
      <c r="W58" s="8"/>
    </row>
    <row r="59" spans="4:23" ht="20.100000000000001" customHeight="1" x14ac:dyDescent="0.35">
      <c r="D59" s="113"/>
      <c r="I59" s="9"/>
      <c r="T59" s="8"/>
      <c r="U59" s="8"/>
      <c r="W59" s="8"/>
    </row>
    <row r="60" spans="4:23" ht="20.100000000000001" customHeight="1" x14ac:dyDescent="0.35">
      <c r="D60" s="113"/>
      <c r="I60" s="9"/>
      <c r="T60" s="8"/>
      <c r="U60" s="8"/>
      <c r="W60" s="8"/>
    </row>
    <row r="61" spans="4:23" ht="20.100000000000001" customHeight="1" x14ac:dyDescent="0.35">
      <c r="I61" s="9"/>
      <c r="T61" s="8"/>
      <c r="U61" s="8"/>
      <c r="W61" s="8"/>
    </row>
    <row r="62" spans="4:23" ht="20.100000000000001" customHeight="1" x14ac:dyDescent="0.35">
      <c r="I62" s="9"/>
      <c r="T62" s="8"/>
      <c r="U62" s="8"/>
      <c r="W62" s="8"/>
    </row>
    <row r="63" spans="4:23" ht="20.100000000000001" customHeight="1" x14ac:dyDescent="0.35">
      <c r="I63" s="9"/>
      <c r="T63" s="8"/>
      <c r="U63" s="8"/>
      <c r="W63" s="8"/>
    </row>
    <row r="64" spans="4:23" ht="20.100000000000001" customHeight="1" x14ac:dyDescent="0.35">
      <c r="I64" s="9"/>
      <c r="T64" s="8"/>
      <c r="U64" s="8"/>
      <c r="W64" s="8"/>
    </row>
    <row r="65" spans="9:23" ht="20.100000000000001" customHeight="1" x14ac:dyDescent="0.35">
      <c r="I65" s="9"/>
      <c r="T65" s="8"/>
      <c r="U65" s="8"/>
      <c r="W65" s="8"/>
    </row>
    <row r="66" spans="9:23" ht="20.100000000000001" customHeight="1" x14ac:dyDescent="0.35">
      <c r="I66" s="9"/>
      <c r="T66" s="8"/>
      <c r="U66" s="8"/>
      <c r="W66" s="8"/>
    </row>
    <row r="67" spans="9:23" ht="20.100000000000001" customHeight="1" x14ac:dyDescent="0.35">
      <c r="I67" s="9"/>
      <c r="T67" s="8"/>
      <c r="U67" s="8"/>
      <c r="W67" s="8"/>
    </row>
    <row r="68" spans="9:23" ht="20.100000000000001" customHeight="1" x14ac:dyDescent="0.35">
      <c r="I68" s="9"/>
      <c r="T68" s="8"/>
      <c r="U68" s="8"/>
      <c r="W68" s="8"/>
    </row>
    <row r="69" spans="9:23" ht="20.100000000000001" customHeight="1" x14ac:dyDescent="0.35">
      <c r="I69" s="9"/>
      <c r="T69" s="8"/>
      <c r="U69" s="8"/>
      <c r="W69" s="8"/>
    </row>
    <row r="70" spans="9:23" ht="20.100000000000001" customHeight="1" x14ac:dyDescent="0.35">
      <c r="I70" s="9"/>
      <c r="T70" s="8"/>
      <c r="U70" s="8"/>
      <c r="W70" s="8"/>
    </row>
    <row r="71" spans="9:23" ht="20.100000000000001" customHeight="1" x14ac:dyDescent="0.35">
      <c r="I71" s="9"/>
      <c r="T71" s="8"/>
      <c r="U71" s="8"/>
      <c r="W71" s="8"/>
    </row>
    <row r="72" spans="9:23" ht="20.100000000000001" customHeight="1" x14ac:dyDescent="0.35">
      <c r="I72" s="9"/>
      <c r="T72" s="8"/>
      <c r="U72" s="8"/>
      <c r="W72" s="8"/>
    </row>
    <row r="73" spans="9:23" ht="20.100000000000001" customHeight="1" x14ac:dyDescent="0.35">
      <c r="I73" s="9"/>
      <c r="T73" s="8"/>
      <c r="U73" s="8"/>
      <c r="W73" s="8"/>
    </row>
    <row r="74" spans="9:23" ht="20.100000000000001" customHeight="1" x14ac:dyDescent="0.35">
      <c r="I74" s="9"/>
      <c r="T74" s="8"/>
      <c r="U74" s="8"/>
      <c r="W74" s="8"/>
    </row>
    <row r="75" spans="9:23" ht="20.100000000000001" customHeight="1" x14ac:dyDescent="0.35">
      <c r="I75" s="9"/>
      <c r="T75" s="8"/>
      <c r="U75" s="8"/>
      <c r="W75" s="8"/>
    </row>
    <row r="76" spans="9:23" ht="20.100000000000001" customHeight="1" x14ac:dyDescent="0.35">
      <c r="I76" s="9"/>
      <c r="T76" s="8"/>
      <c r="U76" s="8"/>
      <c r="W76" s="8"/>
    </row>
    <row r="77" spans="9:23" ht="20.100000000000001" customHeight="1" x14ac:dyDescent="0.35">
      <c r="I77" s="9"/>
      <c r="T77" s="8"/>
      <c r="U77" s="8"/>
      <c r="W77" s="8"/>
    </row>
    <row r="78" spans="9:23" ht="20.100000000000001" customHeight="1" x14ac:dyDescent="0.35">
      <c r="I78" s="9"/>
      <c r="T78" s="8"/>
      <c r="U78" s="8"/>
      <c r="W78" s="8"/>
    </row>
    <row r="79" spans="9:23" ht="20.100000000000001" customHeight="1" x14ac:dyDescent="0.35">
      <c r="I79" s="9"/>
      <c r="T79" s="8"/>
      <c r="U79" s="8"/>
      <c r="W79" s="8"/>
    </row>
    <row r="80" spans="9:23" ht="20.100000000000001" customHeight="1" x14ac:dyDescent="0.35">
      <c r="I80" s="9"/>
      <c r="T80" s="8"/>
      <c r="U80" s="8"/>
      <c r="W80" s="8"/>
    </row>
    <row r="81" spans="9:23" ht="20.100000000000001" customHeight="1" x14ac:dyDescent="0.35">
      <c r="I81" s="9"/>
      <c r="T81" s="8"/>
      <c r="U81" s="8"/>
      <c r="W81" s="8"/>
    </row>
    <row r="82" spans="9:23" ht="20.100000000000001" customHeight="1" x14ac:dyDescent="0.35">
      <c r="I82" s="9"/>
      <c r="T82" s="8"/>
      <c r="U82" s="8"/>
      <c r="W82" s="8"/>
    </row>
    <row r="83" spans="9:23" ht="20.100000000000001" customHeight="1" x14ac:dyDescent="0.35">
      <c r="I83" s="9"/>
      <c r="T83" s="8"/>
      <c r="U83" s="8"/>
      <c r="W83" s="8"/>
    </row>
    <row r="84" spans="9:23" ht="20.100000000000001" customHeight="1" x14ac:dyDescent="0.35">
      <c r="I84" s="9"/>
      <c r="T84" s="8"/>
      <c r="U84" s="8"/>
      <c r="W84" s="8"/>
    </row>
    <row r="85" spans="9:23" ht="20.100000000000001" customHeight="1" x14ac:dyDescent="0.35">
      <c r="I85" s="9"/>
      <c r="T85" s="8"/>
      <c r="U85" s="8"/>
      <c r="W85" s="8"/>
    </row>
    <row r="86" spans="9:23" ht="20.100000000000001" customHeight="1" x14ac:dyDescent="0.35">
      <c r="I86" s="9"/>
      <c r="T86" s="8"/>
      <c r="U86" s="8"/>
      <c r="W86" s="8"/>
    </row>
    <row r="87" spans="9:23" ht="20.100000000000001" customHeight="1" x14ac:dyDescent="0.35">
      <c r="I87" s="9"/>
      <c r="T87" s="8"/>
      <c r="U87" s="8"/>
      <c r="W87" s="8"/>
    </row>
    <row r="88" spans="9:23" ht="20.100000000000001" customHeight="1" x14ac:dyDescent="0.35">
      <c r="I88" s="9"/>
      <c r="T88" s="8"/>
      <c r="U88" s="8"/>
      <c r="W88" s="8"/>
    </row>
    <row r="89" spans="9:23" ht="20.100000000000001" customHeight="1" x14ac:dyDescent="0.35">
      <c r="I89" s="9"/>
      <c r="T89" s="8"/>
      <c r="U89" s="8"/>
      <c r="W89" s="8"/>
    </row>
    <row r="90" spans="9:23" ht="20.100000000000001" customHeight="1" x14ac:dyDescent="0.35">
      <c r="I90" s="9"/>
      <c r="T90" s="8"/>
      <c r="U90" s="8"/>
      <c r="W90" s="8"/>
    </row>
    <row r="91" spans="9:23" ht="20.100000000000001" customHeight="1" x14ac:dyDescent="0.35">
      <c r="I91" s="9"/>
      <c r="T91" s="8"/>
      <c r="U91" s="8"/>
      <c r="W91" s="8"/>
    </row>
    <row r="92" spans="9:23" ht="20.100000000000001" customHeight="1" x14ac:dyDescent="0.35">
      <c r="I92" s="9"/>
      <c r="T92" s="8"/>
      <c r="U92" s="8"/>
      <c r="W92" s="8"/>
    </row>
    <row r="93" spans="9:23" ht="20.100000000000001" customHeight="1" x14ac:dyDescent="0.35">
      <c r="I93" s="9"/>
      <c r="T93" s="8"/>
      <c r="U93" s="8"/>
      <c r="W93" s="8"/>
    </row>
    <row r="94" spans="9:23" ht="20.100000000000001" customHeight="1" x14ac:dyDescent="0.35">
      <c r="I94" s="9"/>
      <c r="T94" s="8"/>
      <c r="U94" s="8"/>
      <c r="W94" s="8"/>
    </row>
    <row r="95" spans="9:23" ht="20.100000000000001" customHeight="1" x14ac:dyDescent="0.35">
      <c r="I95" s="9"/>
      <c r="T95" s="8"/>
      <c r="U95" s="8"/>
      <c r="W95" s="8"/>
    </row>
    <row r="96" spans="9:23" ht="20.100000000000001" customHeight="1" x14ac:dyDescent="0.35">
      <c r="I96" s="9"/>
      <c r="T96" s="8"/>
      <c r="U96" s="8"/>
      <c r="W96" s="8"/>
    </row>
    <row r="97" spans="9:23" ht="20.100000000000001" customHeight="1" x14ac:dyDescent="0.35">
      <c r="I97" s="9"/>
      <c r="T97" s="8"/>
      <c r="U97" s="8"/>
      <c r="W97" s="8"/>
    </row>
    <row r="98" spans="9:23" ht="20.100000000000001" customHeight="1" x14ac:dyDescent="0.35">
      <c r="I98" s="9"/>
      <c r="T98" s="8"/>
      <c r="U98" s="8"/>
      <c r="W98" s="8"/>
    </row>
    <row r="99" spans="9:23" ht="20.100000000000001" customHeight="1" x14ac:dyDescent="0.35">
      <c r="I99" s="9"/>
      <c r="T99" s="8"/>
      <c r="U99" s="8"/>
      <c r="W99" s="8"/>
    </row>
    <row r="100" spans="9:23" ht="20.100000000000001" customHeight="1" x14ac:dyDescent="0.35"/>
  </sheetData>
  <sheetProtection sheet="1" objects="1" scenarios="1"/>
  <sortState xmlns:xlrd2="http://schemas.microsoft.com/office/spreadsheetml/2017/richdata2" ref="A3:W30">
    <sortCondition ref="B3"/>
  </sortState>
  <mergeCells count="1">
    <mergeCell ref="A1:J1"/>
  </mergeCells>
  <printOptions horizontalCentered="1"/>
  <pageMargins left="0.47244094488188981" right="0.23622047244094491" top="0.74803149606299213" bottom="0.74803149606299213" header="0" footer="0"/>
  <pageSetup paperSize="9" orientation="landscape" r:id="rId1"/>
  <headerFooter>
    <oddHeader>&amp;C&amp;"Arial Black"&amp;20Grand prix Oyeu-Burcin 2026</oddHeader>
    <oddFooter>&amp;C&amp;"Arial"&amp;G&amp;12AB =&gt; abandon        NC =&gt; non classé, arrivée en peloton        NP =&gt; non partant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11">
    <tabColor rgb="FF99CC00"/>
  </sheetPr>
  <dimension ref="A1:W100"/>
  <sheetViews>
    <sheetView showGridLines="0" showRowColHeaders="0" topLeftCell="B1" workbookViewId="0">
      <selection sqref="A1:J1"/>
    </sheetView>
  </sheetViews>
  <sheetFormatPr baseColWidth="10" defaultColWidth="11.59765625" defaultRowHeight="12.75" x14ac:dyDescent="0.35"/>
  <cols>
    <col min="1" max="1" width="9.265625" style="8" hidden="1" customWidth="1"/>
    <col min="2" max="2" width="11.73046875" style="8" customWidth="1"/>
    <col min="3" max="3" width="10.59765625" style="8" bestFit="1" customWidth="1"/>
    <col min="4" max="4" width="16" style="35" hidden="1" customWidth="1"/>
    <col min="5" max="5" width="13" style="8" bestFit="1" customWidth="1"/>
    <col min="6" max="6" width="8.3984375" style="8" customWidth="1"/>
    <col min="7" max="7" width="19.3984375" style="35" customWidth="1"/>
    <col min="8" max="8" width="18.1328125" style="35" customWidth="1"/>
    <col min="9" max="9" width="43.265625" style="8" customWidth="1"/>
    <col min="10" max="10" width="14.86328125" style="9" customWidth="1"/>
    <col min="11" max="16384" width="11.59765625" style="9"/>
  </cols>
  <sheetData>
    <row r="1" spans="1:23" s="29" customFormat="1" ht="35.1" customHeight="1" x14ac:dyDescent="0.35">
      <c r="A1" s="127" t="s">
        <v>157</v>
      </c>
      <c r="B1" s="127"/>
      <c r="C1" s="127"/>
      <c r="D1" s="127"/>
      <c r="E1" s="127"/>
      <c r="F1" s="127"/>
      <c r="G1" s="127"/>
      <c r="H1" s="127"/>
      <c r="I1" s="127"/>
      <c r="J1" s="127"/>
    </row>
    <row r="2" spans="1:23" s="34" customFormat="1" ht="24.95" customHeight="1" x14ac:dyDescent="0.35">
      <c r="B2" s="34" t="s">
        <v>152</v>
      </c>
      <c r="C2" s="34" t="s">
        <v>140</v>
      </c>
      <c r="D2" s="36" t="s">
        <v>141</v>
      </c>
      <c r="E2" s="34" t="s">
        <v>144</v>
      </c>
      <c r="F2" s="34" t="s">
        <v>162</v>
      </c>
      <c r="G2" s="34" t="s">
        <v>142</v>
      </c>
      <c r="H2" s="37" t="s">
        <v>192</v>
      </c>
      <c r="I2" s="37" t="s">
        <v>1</v>
      </c>
      <c r="J2" s="38" t="s">
        <v>165</v>
      </c>
      <c r="K2" s="29"/>
      <c r="L2" s="29"/>
      <c r="M2" s="29"/>
      <c r="N2" s="29"/>
      <c r="O2" s="29"/>
      <c r="P2" s="29"/>
      <c r="Q2" s="29"/>
      <c r="R2" s="29"/>
      <c r="S2" s="29"/>
      <c r="T2" s="28"/>
      <c r="U2" s="28"/>
      <c r="V2" s="29"/>
    </row>
    <row r="3" spans="1:23" ht="20.100000000000001" customHeight="1" x14ac:dyDescent="0.35">
      <c r="B3" s="8">
        <v>1</v>
      </c>
      <c r="C3" s="8">
        <v>10</v>
      </c>
      <c r="D3" s="113" t="s">
        <v>641</v>
      </c>
      <c r="G3" s="35" t="s">
        <v>640</v>
      </c>
      <c r="I3" s="9" t="s">
        <v>577</v>
      </c>
      <c r="T3" s="8"/>
      <c r="U3" s="8"/>
      <c r="W3" s="8"/>
    </row>
    <row r="4" spans="1:23" ht="20.100000000000001" customHeight="1" x14ac:dyDescent="0.35">
      <c r="B4" s="8">
        <v>2</v>
      </c>
      <c r="C4" s="8">
        <v>2</v>
      </c>
      <c r="D4" s="113" t="s">
        <v>32</v>
      </c>
      <c r="G4" s="35" t="s">
        <v>597</v>
      </c>
      <c r="I4" s="9" t="s">
        <v>580</v>
      </c>
      <c r="T4" s="8"/>
      <c r="U4" s="8"/>
      <c r="W4" s="8"/>
    </row>
    <row r="5" spans="1:23" ht="20.100000000000001" customHeight="1" x14ac:dyDescent="0.35">
      <c r="B5" s="8">
        <v>3</v>
      </c>
      <c r="C5" s="8">
        <v>14</v>
      </c>
      <c r="D5" s="113" t="s">
        <v>59</v>
      </c>
      <c r="G5" s="35" t="s">
        <v>636</v>
      </c>
      <c r="I5" s="9" t="s">
        <v>41</v>
      </c>
      <c r="T5" s="8"/>
      <c r="U5" s="8"/>
      <c r="W5" s="8"/>
    </row>
    <row r="6" spans="1:23" ht="20.100000000000001" customHeight="1" x14ac:dyDescent="0.35">
      <c r="B6" s="8">
        <v>4</v>
      </c>
      <c r="C6" s="8">
        <v>5</v>
      </c>
      <c r="D6" s="113" t="s">
        <v>608</v>
      </c>
      <c r="G6" s="35" t="s">
        <v>607</v>
      </c>
      <c r="I6" s="9" t="s">
        <v>563</v>
      </c>
      <c r="T6" s="8"/>
      <c r="U6" s="8"/>
      <c r="W6" s="8"/>
    </row>
    <row r="7" spans="1:23" ht="20.100000000000001" customHeight="1" x14ac:dyDescent="0.35">
      <c r="B7" s="8">
        <v>5</v>
      </c>
      <c r="C7" s="8">
        <v>12</v>
      </c>
      <c r="D7" s="113" t="s">
        <v>742</v>
      </c>
      <c r="G7" s="35" t="s">
        <v>741</v>
      </c>
      <c r="I7" s="9" t="s">
        <v>41</v>
      </c>
      <c r="T7" s="8"/>
      <c r="U7" s="8"/>
      <c r="W7" s="8"/>
    </row>
    <row r="8" spans="1:23" ht="20.100000000000001" customHeight="1" x14ac:dyDescent="0.35">
      <c r="B8" s="8">
        <v>6</v>
      </c>
      <c r="C8" s="8">
        <v>9</v>
      </c>
      <c r="D8" s="113" t="s">
        <v>91</v>
      </c>
      <c r="G8" s="35" t="s">
        <v>639</v>
      </c>
      <c r="I8" s="9" t="s">
        <v>596</v>
      </c>
      <c r="T8" s="8"/>
      <c r="U8" s="8"/>
      <c r="W8" s="8"/>
    </row>
    <row r="9" spans="1:23" ht="20.100000000000001" customHeight="1" x14ac:dyDescent="0.35">
      <c r="B9" s="8">
        <v>7</v>
      </c>
      <c r="C9" s="8">
        <v>7</v>
      </c>
      <c r="D9" s="113" t="s">
        <v>638</v>
      </c>
      <c r="G9" s="35" t="s">
        <v>760</v>
      </c>
      <c r="I9" s="9" t="s">
        <v>3</v>
      </c>
      <c r="T9" s="8"/>
      <c r="U9" s="8"/>
      <c r="W9" s="8"/>
    </row>
    <row r="10" spans="1:23" ht="20.100000000000001" customHeight="1" x14ac:dyDescent="0.35">
      <c r="B10" s="8">
        <v>8</v>
      </c>
      <c r="C10" s="8">
        <v>8</v>
      </c>
      <c r="D10" s="113" t="s">
        <v>740</v>
      </c>
      <c r="G10" s="35" t="s">
        <v>739</v>
      </c>
      <c r="I10" s="9" t="s">
        <v>563</v>
      </c>
      <c r="T10" s="8"/>
      <c r="U10" s="8"/>
      <c r="W10" s="8"/>
    </row>
    <row r="11" spans="1:23" ht="20.100000000000001" customHeight="1" x14ac:dyDescent="0.35">
      <c r="B11" s="8">
        <v>9</v>
      </c>
      <c r="C11" s="8">
        <v>11</v>
      </c>
      <c r="D11" s="113" t="s">
        <v>626</v>
      </c>
      <c r="G11" s="35" t="s">
        <v>625</v>
      </c>
      <c r="I11" s="9" t="s">
        <v>563</v>
      </c>
      <c r="T11" s="8"/>
      <c r="U11" s="8"/>
      <c r="W11" s="8"/>
    </row>
    <row r="12" spans="1:23" ht="20.100000000000001" customHeight="1" x14ac:dyDescent="0.35">
      <c r="B12" s="8">
        <v>10</v>
      </c>
      <c r="C12" s="8">
        <v>1</v>
      </c>
      <c r="D12" s="113" t="s">
        <v>735</v>
      </c>
      <c r="G12" s="35" t="s">
        <v>759</v>
      </c>
      <c r="I12" s="9" t="s">
        <v>41</v>
      </c>
      <c r="T12" s="8"/>
      <c r="U12" s="8"/>
      <c r="W12" s="8"/>
    </row>
    <row r="13" spans="1:23" ht="20.100000000000001" customHeight="1" x14ac:dyDescent="0.35">
      <c r="B13" s="8">
        <v>11</v>
      </c>
      <c r="C13" s="8">
        <v>4</v>
      </c>
      <c r="D13" s="113" t="s">
        <v>737</v>
      </c>
      <c r="G13" s="35" t="s">
        <v>736</v>
      </c>
      <c r="I13" s="9" t="s">
        <v>577</v>
      </c>
      <c r="T13" s="8"/>
      <c r="U13" s="8"/>
      <c r="W13" s="8"/>
    </row>
    <row r="14" spans="1:23" ht="20.100000000000001" customHeight="1" x14ac:dyDescent="0.35">
      <c r="B14" s="8">
        <v>12</v>
      </c>
      <c r="C14" s="8">
        <v>6</v>
      </c>
      <c r="D14" s="113" t="s">
        <v>73</v>
      </c>
      <c r="G14" s="35" t="s">
        <v>637</v>
      </c>
      <c r="I14" s="9" t="s">
        <v>580</v>
      </c>
      <c r="T14" s="8"/>
      <c r="U14" s="8"/>
      <c r="W14" s="8"/>
    </row>
    <row r="15" spans="1:23" ht="20.100000000000001" customHeight="1" x14ac:dyDescent="0.35">
      <c r="B15" s="8">
        <v>13</v>
      </c>
      <c r="C15" s="8">
        <v>15</v>
      </c>
      <c r="D15" s="113" t="s">
        <v>84</v>
      </c>
      <c r="G15" s="35" t="s">
        <v>743</v>
      </c>
      <c r="I15" s="9" t="s">
        <v>580</v>
      </c>
      <c r="T15" s="8"/>
      <c r="U15" s="8"/>
      <c r="W15" s="8"/>
    </row>
    <row r="16" spans="1:23" ht="20.100000000000001" customHeight="1" x14ac:dyDescent="0.35">
      <c r="B16" s="8">
        <v>14</v>
      </c>
      <c r="C16" s="8">
        <v>13</v>
      </c>
      <c r="D16" s="113" t="s">
        <v>34</v>
      </c>
      <c r="G16" s="35" t="s">
        <v>642</v>
      </c>
      <c r="I16" s="9" t="s">
        <v>564</v>
      </c>
      <c r="T16" s="8"/>
      <c r="U16" s="8"/>
      <c r="W16" s="8"/>
    </row>
    <row r="17" spans="2:23" ht="20.100000000000001" customHeight="1" x14ac:dyDescent="0.35">
      <c r="B17" s="8">
        <v>15</v>
      </c>
      <c r="C17" s="8">
        <v>3</v>
      </c>
      <c r="D17" s="113" t="s">
        <v>633</v>
      </c>
      <c r="G17" s="35" t="s">
        <v>632</v>
      </c>
      <c r="I17" s="9" t="s">
        <v>577</v>
      </c>
      <c r="T17" s="8"/>
      <c r="U17" s="8"/>
      <c r="W17" s="8"/>
    </row>
    <row r="18" spans="2:23" ht="20.100000000000001" customHeight="1" x14ac:dyDescent="0.35">
      <c r="D18" s="113"/>
      <c r="I18" s="9"/>
      <c r="T18" s="8"/>
      <c r="U18" s="8"/>
      <c r="W18" s="8"/>
    </row>
    <row r="19" spans="2:23" ht="20.100000000000001" customHeight="1" x14ac:dyDescent="0.35">
      <c r="D19" s="113"/>
      <c r="I19" s="9"/>
      <c r="T19" s="8"/>
      <c r="U19" s="114"/>
      <c r="W19" s="8"/>
    </row>
    <row r="20" spans="2:23" ht="20.100000000000001" customHeight="1" x14ac:dyDescent="0.35">
      <c r="D20" s="113"/>
      <c r="I20" s="9"/>
      <c r="T20" s="8"/>
      <c r="U20" s="8"/>
      <c r="W20" s="8"/>
    </row>
    <row r="21" spans="2:23" ht="20.100000000000001" customHeight="1" x14ac:dyDescent="0.35">
      <c r="I21" s="9"/>
      <c r="T21" s="8"/>
      <c r="U21" s="8"/>
      <c r="W21" s="8"/>
    </row>
    <row r="22" spans="2:23" ht="20.100000000000001" customHeight="1" x14ac:dyDescent="0.35">
      <c r="I22" s="9"/>
      <c r="T22" s="8"/>
      <c r="U22" s="8"/>
      <c r="W22" s="8"/>
    </row>
    <row r="23" spans="2:23" ht="20.100000000000001" customHeight="1" x14ac:dyDescent="0.35">
      <c r="H23" s="115"/>
      <c r="I23" s="9"/>
      <c r="T23" s="8"/>
      <c r="U23" s="8"/>
      <c r="W23" s="8"/>
    </row>
    <row r="24" spans="2:23" ht="20.100000000000001" customHeight="1" x14ac:dyDescent="0.35">
      <c r="I24" s="9"/>
      <c r="T24" s="8"/>
      <c r="U24" s="8"/>
      <c r="W24" s="8"/>
    </row>
    <row r="25" spans="2:23" ht="20.100000000000001" customHeight="1" x14ac:dyDescent="0.35">
      <c r="I25" s="9"/>
      <c r="T25" s="8"/>
      <c r="U25" s="8"/>
      <c r="W25" s="8"/>
    </row>
    <row r="26" spans="2:23" ht="20.100000000000001" customHeight="1" x14ac:dyDescent="0.35">
      <c r="I26" s="9"/>
      <c r="T26" s="8"/>
      <c r="U26" s="8"/>
      <c r="W26" s="8"/>
    </row>
    <row r="27" spans="2:23" ht="20.100000000000001" customHeight="1" x14ac:dyDescent="0.35">
      <c r="I27" s="9"/>
      <c r="T27" s="8"/>
      <c r="U27" s="8"/>
      <c r="W27" s="8"/>
    </row>
    <row r="28" spans="2:23" ht="20.100000000000001" customHeight="1" x14ac:dyDescent="0.35">
      <c r="I28" s="9"/>
      <c r="T28" s="8"/>
      <c r="U28" s="8"/>
      <c r="W28" s="8"/>
    </row>
    <row r="29" spans="2:23" ht="20.100000000000001" customHeight="1" x14ac:dyDescent="0.35">
      <c r="I29" s="9"/>
      <c r="T29" s="8"/>
      <c r="U29" s="8"/>
      <c r="W29" s="8"/>
    </row>
    <row r="30" spans="2:23" ht="20.100000000000001" customHeight="1" x14ac:dyDescent="0.35">
      <c r="I30" s="9"/>
      <c r="T30" s="8"/>
      <c r="U30" s="8"/>
      <c r="W30" s="8"/>
    </row>
    <row r="31" spans="2:23" ht="20.100000000000001" customHeight="1" x14ac:dyDescent="0.35">
      <c r="I31" s="9"/>
      <c r="T31" s="8"/>
      <c r="U31" s="8"/>
      <c r="W31" s="8"/>
    </row>
    <row r="32" spans="2:23" ht="20.100000000000001" customHeight="1" x14ac:dyDescent="0.35">
      <c r="I32" s="9"/>
      <c r="T32" s="8"/>
      <c r="U32" s="8"/>
      <c r="W32" s="8"/>
    </row>
    <row r="33" spans="7:23" ht="20.100000000000001" customHeight="1" x14ac:dyDescent="0.35">
      <c r="G33" s="115"/>
      <c r="I33" s="9"/>
      <c r="T33" s="8"/>
      <c r="U33" s="8"/>
      <c r="V33" s="116"/>
      <c r="W33" s="8"/>
    </row>
    <row r="34" spans="7:23" ht="20.100000000000001" customHeight="1" x14ac:dyDescent="0.35">
      <c r="I34" s="9"/>
      <c r="T34" s="8"/>
      <c r="U34" s="8"/>
      <c r="W34" s="8"/>
    </row>
    <row r="35" spans="7:23" ht="20.100000000000001" customHeight="1" x14ac:dyDescent="0.35">
      <c r="I35" s="9"/>
      <c r="T35" s="8"/>
      <c r="U35" s="8"/>
      <c r="W35" s="8"/>
    </row>
    <row r="36" spans="7:23" ht="20.100000000000001" customHeight="1" x14ac:dyDescent="0.35">
      <c r="I36" s="9"/>
      <c r="T36" s="8"/>
      <c r="U36" s="8"/>
      <c r="W36" s="8"/>
    </row>
    <row r="37" spans="7:23" ht="20.100000000000001" customHeight="1" x14ac:dyDescent="0.35">
      <c r="I37" s="9"/>
      <c r="T37" s="8"/>
      <c r="U37" s="8"/>
      <c r="W37" s="8"/>
    </row>
    <row r="38" spans="7:23" ht="20.100000000000001" customHeight="1" x14ac:dyDescent="0.35">
      <c r="I38" s="9"/>
      <c r="T38" s="8"/>
      <c r="U38" s="8"/>
      <c r="W38" s="8"/>
    </row>
    <row r="39" spans="7:23" ht="20.100000000000001" customHeight="1" x14ac:dyDescent="0.35">
      <c r="I39" s="9"/>
      <c r="T39" s="8"/>
      <c r="U39" s="8"/>
      <c r="W39" s="8"/>
    </row>
    <row r="40" spans="7:23" ht="20.100000000000001" customHeight="1" x14ac:dyDescent="0.35">
      <c r="I40" s="9"/>
      <c r="T40" s="8"/>
      <c r="U40" s="8"/>
      <c r="W40" s="8"/>
    </row>
    <row r="41" spans="7:23" ht="20.100000000000001" customHeight="1" x14ac:dyDescent="0.35">
      <c r="I41" s="9"/>
      <c r="T41" s="8"/>
      <c r="U41" s="8"/>
      <c r="W41" s="8"/>
    </row>
    <row r="42" spans="7:23" ht="20.100000000000001" customHeight="1" x14ac:dyDescent="0.35">
      <c r="I42" s="9"/>
      <c r="T42" s="8"/>
      <c r="U42" s="8"/>
      <c r="W42" s="8"/>
    </row>
    <row r="43" spans="7:23" ht="20.100000000000001" customHeight="1" x14ac:dyDescent="0.35">
      <c r="I43" s="9"/>
      <c r="T43" s="8"/>
      <c r="U43" s="8"/>
      <c r="W43" s="8"/>
    </row>
    <row r="44" spans="7:23" ht="20.100000000000001" customHeight="1" x14ac:dyDescent="0.35">
      <c r="I44" s="9"/>
      <c r="T44" s="8"/>
      <c r="U44" s="8"/>
      <c r="W44" s="8"/>
    </row>
    <row r="45" spans="7:23" ht="20.100000000000001" customHeight="1" x14ac:dyDescent="0.35">
      <c r="I45" s="9"/>
      <c r="T45" s="8"/>
      <c r="U45" s="8"/>
      <c r="W45" s="8"/>
    </row>
    <row r="46" spans="7:23" ht="20.100000000000001" customHeight="1" x14ac:dyDescent="0.35">
      <c r="I46" s="9"/>
      <c r="T46" s="8"/>
      <c r="U46" s="8"/>
      <c r="W46" s="8"/>
    </row>
    <row r="47" spans="7:23" ht="20.100000000000001" customHeight="1" x14ac:dyDescent="0.35">
      <c r="I47" s="9"/>
      <c r="T47" s="8"/>
      <c r="U47" s="8"/>
      <c r="W47" s="8"/>
    </row>
    <row r="48" spans="7:23" ht="20.100000000000001" customHeight="1" x14ac:dyDescent="0.35">
      <c r="I48" s="9"/>
      <c r="T48" s="8"/>
      <c r="U48" s="8"/>
      <c r="W48" s="8"/>
    </row>
    <row r="49" spans="9:23" ht="20.100000000000001" customHeight="1" x14ac:dyDescent="0.35">
      <c r="I49" s="9"/>
      <c r="T49" s="8"/>
      <c r="U49" s="8"/>
      <c r="W49" s="8"/>
    </row>
    <row r="50" spans="9:23" ht="20.100000000000001" customHeight="1" x14ac:dyDescent="0.35">
      <c r="I50" s="9"/>
      <c r="T50" s="8"/>
      <c r="U50" s="8"/>
      <c r="W50" s="8"/>
    </row>
    <row r="51" spans="9:23" ht="20.100000000000001" customHeight="1" x14ac:dyDescent="0.35">
      <c r="I51" s="9"/>
      <c r="T51" s="8"/>
      <c r="U51" s="8"/>
      <c r="W51" s="8"/>
    </row>
    <row r="52" spans="9:23" ht="20.100000000000001" customHeight="1" x14ac:dyDescent="0.35">
      <c r="I52" s="9"/>
      <c r="T52" s="8"/>
      <c r="U52" s="8"/>
      <c r="W52" s="8"/>
    </row>
    <row r="53" spans="9:23" ht="20.100000000000001" customHeight="1" x14ac:dyDescent="0.35">
      <c r="I53" s="9"/>
      <c r="T53" s="8"/>
      <c r="U53" s="8"/>
      <c r="W53" s="8"/>
    </row>
    <row r="54" spans="9:23" ht="20.100000000000001" customHeight="1" x14ac:dyDescent="0.35">
      <c r="I54" s="9"/>
      <c r="T54" s="8"/>
      <c r="U54" s="8"/>
      <c r="W54" s="8"/>
    </row>
    <row r="55" spans="9:23" ht="20.100000000000001" customHeight="1" x14ac:dyDescent="0.35">
      <c r="I55" s="9"/>
      <c r="T55" s="8"/>
      <c r="U55" s="8"/>
      <c r="W55" s="8"/>
    </row>
    <row r="56" spans="9:23" ht="20.100000000000001" customHeight="1" x14ac:dyDescent="0.35">
      <c r="I56" s="9"/>
      <c r="T56" s="8"/>
      <c r="U56" s="8"/>
      <c r="W56" s="8"/>
    </row>
    <row r="57" spans="9:23" ht="20.100000000000001" customHeight="1" x14ac:dyDescent="0.35">
      <c r="I57" s="9"/>
      <c r="T57" s="8"/>
      <c r="U57" s="8"/>
      <c r="W57" s="8"/>
    </row>
    <row r="58" spans="9:23" ht="20.100000000000001" customHeight="1" x14ac:dyDescent="0.35">
      <c r="I58" s="9"/>
      <c r="T58" s="8"/>
      <c r="U58" s="8"/>
      <c r="W58" s="8"/>
    </row>
    <row r="59" spans="9:23" ht="20.100000000000001" customHeight="1" x14ac:dyDescent="0.35">
      <c r="I59" s="9"/>
      <c r="T59" s="8"/>
      <c r="U59" s="8"/>
      <c r="W59" s="8"/>
    </row>
    <row r="60" spans="9:23" ht="20.100000000000001" customHeight="1" x14ac:dyDescent="0.35">
      <c r="I60" s="9"/>
      <c r="T60" s="8"/>
      <c r="U60" s="8"/>
      <c r="W60" s="8"/>
    </row>
    <row r="61" spans="9:23" ht="20.100000000000001" customHeight="1" x14ac:dyDescent="0.35">
      <c r="I61" s="9"/>
      <c r="T61" s="8"/>
      <c r="U61" s="8"/>
      <c r="W61" s="8"/>
    </row>
    <row r="62" spans="9:23" ht="20.100000000000001" customHeight="1" x14ac:dyDescent="0.35">
      <c r="I62" s="9"/>
      <c r="T62" s="8"/>
      <c r="U62" s="8"/>
      <c r="W62" s="8"/>
    </row>
    <row r="63" spans="9:23" ht="20.100000000000001" customHeight="1" x14ac:dyDescent="0.35">
      <c r="I63" s="9"/>
      <c r="T63" s="8"/>
      <c r="U63" s="8"/>
      <c r="W63" s="8"/>
    </row>
    <row r="64" spans="9:23" ht="20.100000000000001" customHeight="1" x14ac:dyDescent="0.35">
      <c r="I64" s="9"/>
      <c r="T64" s="8"/>
      <c r="U64" s="8"/>
      <c r="W64" s="8"/>
    </row>
    <row r="65" spans="9:23" ht="20.100000000000001" customHeight="1" x14ac:dyDescent="0.35">
      <c r="I65" s="9"/>
      <c r="T65" s="8"/>
      <c r="U65" s="8"/>
      <c r="W65" s="8"/>
    </row>
    <row r="66" spans="9:23" ht="20.100000000000001" customHeight="1" x14ac:dyDescent="0.35">
      <c r="I66" s="9"/>
      <c r="T66" s="8"/>
      <c r="U66" s="8"/>
      <c r="W66" s="8"/>
    </row>
    <row r="67" spans="9:23" ht="20.100000000000001" customHeight="1" x14ac:dyDescent="0.35">
      <c r="I67" s="9"/>
      <c r="T67" s="8"/>
      <c r="U67" s="8"/>
      <c r="W67" s="8"/>
    </row>
    <row r="68" spans="9:23" ht="20.100000000000001" customHeight="1" x14ac:dyDescent="0.35">
      <c r="I68" s="9"/>
      <c r="T68" s="8"/>
      <c r="U68" s="8"/>
      <c r="W68" s="8"/>
    </row>
    <row r="69" spans="9:23" ht="20.100000000000001" customHeight="1" x14ac:dyDescent="0.35">
      <c r="I69" s="9"/>
      <c r="T69" s="8"/>
      <c r="U69" s="8"/>
      <c r="W69" s="8"/>
    </row>
    <row r="70" spans="9:23" ht="20.100000000000001" customHeight="1" x14ac:dyDescent="0.35">
      <c r="I70" s="9"/>
      <c r="T70" s="8"/>
      <c r="U70" s="8"/>
      <c r="W70" s="8"/>
    </row>
    <row r="71" spans="9:23" ht="20.100000000000001" customHeight="1" x14ac:dyDescent="0.35">
      <c r="I71" s="9"/>
      <c r="T71" s="8"/>
      <c r="U71" s="8"/>
      <c r="W71" s="8"/>
    </row>
    <row r="72" spans="9:23" ht="20.100000000000001" customHeight="1" x14ac:dyDescent="0.35">
      <c r="I72" s="9"/>
      <c r="T72" s="8"/>
      <c r="U72" s="8"/>
      <c r="W72" s="8"/>
    </row>
    <row r="73" spans="9:23" ht="20.100000000000001" customHeight="1" x14ac:dyDescent="0.35">
      <c r="I73" s="9"/>
      <c r="T73" s="8"/>
      <c r="U73" s="8"/>
      <c r="W73" s="8"/>
    </row>
    <row r="74" spans="9:23" ht="20.100000000000001" customHeight="1" x14ac:dyDescent="0.35">
      <c r="I74" s="9"/>
      <c r="T74" s="8"/>
      <c r="U74" s="8"/>
      <c r="W74" s="8"/>
    </row>
    <row r="75" spans="9:23" ht="20.100000000000001" customHeight="1" x14ac:dyDescent="0.35">
      <c r="I75" s="9"/>
      <c r="T75" s="8"/>
      <c r="U75" s="8"/>
      <c r="W75" s="8"/>
    </row>
    <row r="76" spans="9:23" ht="20.100000000000001" customHeight="1" x14ac:dyDescent="0.35">
      <c r="I76" s="9"/>
      <c r="T76" s="8"/>
      <c r="U76" s="8"/>
      <c r="W76" s="8"/>
    </row>
    <row r="77" spans="9:23" ht="20.100000000000001" customHeight="1" x14ac:dyDescent="0.35">
      <c r="I77" s="9"/>
      <c r="T77" s="8"/>
      <c r="U77" s="8"/>
      <c r="W77" s="8"/>
    </row>
    <row r="78" spans="9:23" ht="20.100000000000001" customHeight="1" x14ac:dyDescent="0.35">
      <c r="I78" s="9"/>
      <c r="T78" s="8"/>
      <c r="U78" s="8"/>
      <c r="W78" s="8"/>
    </row>
    <row r="79" spans="9:23" ht="20.100000000000001" customHeight="1" x14ac:dyDescent="0.35">
      <c r="I79" s="9"/>
      <c r="T79" s="8"/>
      <c r="U79" s="8"/>
      <c r="W79" s="8"/>
    </row>
    <row r="80" spans="9:23" ht="20.100000000000001" customHeight="1" x14ac:dyDescent="0.35">
      <c r="I80" s="9"/>
      <c r="T80" s="8"/>
      <c r="U80" s="8"/>
      <c r="W80" s="8"/>
    </row>
    <row r="81" spans="9:23" ht="20.100000000000001" customHeight="1" x14ac:dyDescent="0.35">
      <c r="I81" s="9"/>
      <c r="T81" s="8"/>
      <c r="U81" s="8"/>
      <c r="W81" s="8"/>
    </row>
    <row r="82" spans="9:23" ht="20.100000000000001" customHeight="1" x14ac:dyDescent="0.35">
      <c r="I82" s="9"/>
      <c r="T82" s="8"/>
      <c r="U82" s="8"/>
      <c r="W82" s="8"/>
    </row>
    <row r="83" spans="9:23" ht="20.100000000000001" customHeight="1" x14ac:dyDescent="0.35">
      <c r="I83" s="9"/>
      <c r="T83" s="8"/>
      <c r="U83" s="8"/>
      <c r="W83" s="8"/>
    </row>
    <row r="84" spans="9:23" ht="20.100000000000001" customHeight="1" x14ac:dyDescent="0.35">
      <c r="I84" s="9"/>
      <c r="T84" s="8"/>
      <c r="U84" s="8"/>
      <c r="W84" s="8"/>
    </row>
    <row r="85" spans="9:23" ht="20.100000000000001" customHeight="1" x14ac:dyDescent="0.35">
      <c r="I85" s="9"/>
      <c r="T85" s="8"/>
      <c r="U85" s="8"/>
      <c r="W85" s="8"/>
    </row>
    <row r="86" spans="9:23" ht="20.100000000000001" customHeight="1" x14ac:dyDescent="0.35">
      <c r="I86" s="9"/>
      <c r="T86" s="8"/>
      <c r="U86" s="8"/>
      <c r="W86" s="8"/>
    </row>
    <row r="87" spans="9:23" ht="20.100000000000001" customHeight="1" x14ac:dyDescent="0.35">
      <c r="I87" s="9"/>
      <c r="T87" s="8"/>
      <c r="U87" s="8"/>
      <c r="W87" s="8"/>
    </row>
    <row r="88" spans="9:23" ht="20.100000000000001" customHeight="1" x14ac:dyDescent="0.35">
      <c r="I88" s="9"/>
      <c r="T88" s="8"/>
      <c r="U88" s="8"/>
      <c r="W88" s="8"/>
    </row>
    <row r="89" spans="9:23" ht="20.100000000000001" customHeight="1" x14ac:dyDescent="0.35">
      <c r="I89" s="9"/>
      <c r="T89" s="8"/>
      <c r="U89" s="8"/>
      <c r="W89" s="8"/>
    </row>
    <row r="90" spans="9:23" ht="20.100000000000001" customHeight="1" x14ac:dyDescent="0.35">
      <c r="I90" s="9"/>
      <c r="T90" s="8"/>
      <c r="U90" s="8"/>
      <c r="W90" s="8"/>
    </row>
    <row r="91" spans="9:23" ht="20.100000000000001" customHeight="1" x14ac:dyDescent="0.35">
      <c r="I91" s="9"/>
      <c r="T91" s="8"/>
      <c r="U91" s="8"/>
      <c r="W91" s="8"/>
    </row>
    <row r="92" spans="9:23" ht="20.100000000000001" customHeight="1" x14ac:dyDescent="0.35">
      <c r="I92" s="9"/>
      <c r="T92" s="8"/>
      <c r="U92" s="8"/>
      <c r="W92" s="8"/>
    </row>
    <row r="93" spans="9:23" ht="20.100000000000001" customHeight="1" x14ac:dyDescent="0.35">
      <c r="I93" s="9"/>
      <c r="T93" s="8"/>
      <c r="U93" s="8"/>
      <c r="W93" s="8"/>
    </row>
    <row r="94" spans="9:23" ht="20.100000000000001" customHeight="1" x14ac:dyDescent="0.35">
      <c r="I94" s="9"/>
      <c r="T94" s="8"/>
      <c r="U94" s="8"/>
      <c r="W94" s="8"/>
    </row>
    <row r="95" spans="9:23" ht="20.100000000000001" customHeight="1" x14ac:dyDescent="0.35">
      <c r="I95" s="9"/>
      <c r="T95" s="8"/>
      <c r="U95" s="8"/>
      <c r="W95" s="8"/>
    </row>
    <row r="96" spans="9:23" ht="20.100000000000001" customHeight="1" x14ac:dyDescent="0.35">
      <c r="I96" s="9"/>
      <c r="T96" s="8"/>
      <c r="U96" s="8"/>
      <c r="W96" s="8"/>
    </row>
    <row r="97" spans="9:23" ht="20.100000000000001" customHeight="1" x14ac:dyDescent="0.35">
      <c r="I97" s="9"/>
      <c r="T97" s="8"/>
      <c r="U97" s="8"/>
      <c r="W97" s="8"/>
    </row>
    <row r="98" spans="9:23" ht="20.100000000000001" customHeight="1" x14ac:dyDescent="0.35">
      <c r="I98" s="9"/>
      <c r="T98" s="8"/>
      <c r="U98" s="8"/>
      <c r="W98" s="8"/>
    </row>
    <row r="99" spans="9:23" ht="20.100000000000001" customHeight="1" x14ac:dyDescent="0.35">
      <c r="I99" s="9"/>
      <c r="T99" s="8"/>
      <c r="U99" s="8"/>
      <c r="W99" s="8"/>
    </row>
    <row r="100" spans="9:23" ht="20.100000000000001" customHeight="1" x14ac:dyDescent="0.35"/>
  </sheetData>
  <sheetProtection sheet="1" objects="1" scenarios="1"/>
  <sortState xmlns:xlrd2="http://schemas.microsoft.com/office/spreadsheetml/2017/richdata2" ref="A3:W17">
    <sortCondition ref="B3"/>
  </sortState>
  <mergeCells count="1">
    <mergeCell ref="A1:J1"/>
  </mergeCells>
  <printOptions horizontalCentered="1"/>
  <pageMargins left="0.47244094488188981" right="0.23622047244094491" top="0.74803149606299213" bottom="0.74803149606299213" header="0" footer="0"/>
  <pageSetup paperSize="9" orientation="landscape" horizontalDpi="4294967293" r:id="rId1"/>
  <headerFooter>
    <oddHeader>&amp;C&amp;"Arial Black"&amp;20Grand prix Oyeu-Burcin 2026</oddHeader>
    <oddFooter>&amp;C&amp;"Arial"&amp;G&amp;12AB =&gt; abandon        NC =&gt; non classé, arrivée en peloton        NP =&gt; non partant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10">
    <tabColor rgb="FF99CC00"/>
  </sheetPr>
  <dimension ref="A1:W100"/>
  <sheetViews>
    <sheetView showGridLines="0" showRowColHeaders="0" topLeftCell="B1" workbookViewId="0">
      <selection sqref="A1:J1"/>
    </sheetView>
  </sheetViews>
  <sheetFormatPr baseColWidth="10" defaultColWidth="11.59765625" defaultRowHeight="12.75" x14ac:dyDescent="0.35"/>
  <cols>
    <col min="1" max="1" width="9.265625" style="8" hidden="1" customWidth="1"/>
    <col min="2" max="2" width="11.73046875" style="8" customWidth="1"/>
    <col min="3" max="3" width="10.59765625" style="8" bestFit="1" customWidth="1"/>
    <col min="4" max="4" width="16" style="35" hidden="1" customWidth="1"/>
    <col min="5" max="5" width="13" style="8" bestFit="1" customWidth="1"/>
    <col min="6" max="6" width="8.3984375" style="8" customWidth="1"/>
    <col min="7" max="7" width="19.3984375" style="35" customWidth="1"/>
    <col min="8" max="8" width="18.1328125" style="35" customWidth="1"/>
    <col min="9" max="9" width="43.265625" style="8" customWidth="1"/>
    <col min="10" max="10" width="14.86328125" style="9" customWidth="1"/>
    <col min="11" max="16384" width="11.59765625" style="9"/>
  </cols>
  <sheetData>
    <row r="1" spans="1:23" s="29" customFormat="1" ht="35.1" customHeight="1" x14ac:dyDescent="0.35">
      <c r="A1" s="127" t="s">
        <v>158</v>
      </c>
      <c r="B1" s="127"/>
      <c r="C1" s="127"/>
      <c r="D1" s="127"/>
      <c r="E1" s="127"/>
      <c r="F1" s="127"/>
      <c r="G1" s="127"/>
      <c r="H1" s="127"/>
      <c r="I1" s="127"/>
      <c r="J1" s="127"/>
    </row>
    <row r="2" spans="1:23" s="34" customFormat="1" ht="24.95" customHeight="1" x14ac:dyDescent="0.35">
      <c r="B2" s="34" t="s">
        <v>152</v>
      </c>
      <c r="C2" s="34" t="s">
        <v>140</v>
      </c>
      <c r="D2" s="36" t="s">
        <v>141</v>
      </c>
      <c r="E2" s="34" t="s">
        <v>144</v>
      </c>
      <c r="F2" s="34" t="s">
        <v>162</v>
      </c>
      <c r="G2" s="34" t="s">
        <v>142</v>
      </c>
      <c r="H2" s="37" t="s">
        <v>192</v>
      </c>
      <c r="I2" s="37" t="s">
        <v>1</v>
      </c>
      <c r="J2" s="38" t="s">
        <v>165</v>
      </c>
      <c r="K2" s="29"/>
      <c r="L2" s="29"/>
      <c r="M2" s="29"/>
      <c r="N2" s="29"/>
      <c r="O2" s="29"/>
      <c r="P2" s="29"/>
      <c r="Q2" s="29"/>
      <c r="R2" s="29"/>
      <c r="S2" s="29"/>
      <c r="T2" s="28"/>
      <c r="U2" s="28"/>
      <c r="V2" s="29"/>
    </row>
    <row r="3" spans="1:23" ht="20.100000000000001" customHeight="1" x14ac:dyDescent="0.35">
      <c r="B3" s="8">
        <v>1</v>
      </c>
      <c r="C3" s="8">
        <v>25</v>
      </c>
      <c r="D3" s="113" t="s">
        <v>646</v>
      </c>
      <c r="G3" s="35" t="s">
        <v>645</v>
      </c>
      <c r="I3" s="9" t="s">
        <v>563</v>
      </c>
      <c r="T3" s="8"/>
      <c r="U3" s="8"/>
      <c r="W3" s="8"/>
    </row>
    <row r="4" spans="1:23" ht="20.100000000000001" customHeight="1" x14ac:dyDescent="0.35">
      <c r="B4" s="8">
        <v>2</v>
      </c>
      <c r="C4" s="8">
        <v>22</v>
      </c>
      <c r="D4" s="113" t="s">
        <v>644</v>
      </c>
      <c r="G4" s="35" t="s">
        <v>643</v>
      </c>
      <c r="I4" s="9" t="s">
        <v>577</v>
      </c>
      <c r="T4" s="8"/>
      <c r="U4" s="8"/>
      <c r="W4" s="8"/>
    </row>
    <row r="5" spans="1:23" ht="20.100000000000001" customHeight="1" x14ac:dyDescent="0.35">
      <c r="B5" s="8">
        <v>3</v>
      </c>
      <c r="C5" s="8">
        <v>21</v>
      </c>
      <c r="D5" s="113" t="s">
        <v>745</v>
      </c>
      <c r="G5" s="35" t="s">
        <v>744</v>
      </c>
      <c r="I5" s="9" t="s">
        <v>577</v>
      </c>
      <c r="T5" s="8"/>
      <c r="U5" s="8"/>
      <c r="W5" s="8"/>
    </row>
    <row r="6" spans="1:23" ht="20.100000000000001" customHeight="1" x14ac:dyDescent="0.35">
      <c r="B6" s="8">
        <v>4</v>
      </c>
      <c r="C6" s="8">
        <v>24</v>
      </c>
      <c r="D6" s="113" t="s">
        <v>749</v>
      </c>
      <c r="G6" s="35" t="s">
        <v>748</v>
      </c>
      <c r="I6" s="9" t="s">
        <v>563</v>
      </c>
      <c r="T6" s="8"/>
      <c r="U6" s="8"/>
      <c r="W6" s="8"/>
    </row>
    <row r="7" spans="1:23" ht="20.100000000000001" customHeight="1" x14ac:dyDescent="0.35">
      <c r="B7" s="8" t="s">
        <v>395</v>
      </c>
      <c r="C7" s="8">
        <v>23</v>
      </c>
      <c r="D7" s="113" t="s">
        <v>747</v>
      </c>
      <c r="G7" s="35" t="s">
        <v>746</v>
      </c>
      <c r="I7" s="9" t="s">
        <v>563</v>
      </c>
      <c r="T7" s="8"/>
      <c r="U7" s="8"/>
      <c r="W7" s="8"/>
    </row>
    <row r="8" spans="1:23" ht="20.100000000000001" customHeight="1" x14ac:dyDescent="0.35">
      <c r="D8" s="113"/>
      <c r="I8" s="9"/>
      <c r="T8" s="8"/>
      <c r="U8" s="8"/>
      <c r="W8" s="8"/>
    </row>
    <row r="9" spans="1:23" ht="20.100000000000001" customHeight="1" x14ac:dyDescent="0.35">
      <c r="D9" s="113"/>
      <c r="I9" s="9"/>
      <c r="T9" s="8"/>
      <c r="U9" s="8"/>
      <c r="W9" s="8"/>
    </row>
    <row r="10" spans="1:23" ht="20.100000000000001" customHeight="1" x14ac:dyDescent="0.35">
      <c r="D10" s="113"/>
      <c r="I10" s="9"/>
      <c r="T10" s="8"/>
      <c r="U10" s="8"/>
      <c r="W10" s="8"/>
    </row>
    <row r="11" spans="1:23" ht="20.100000000000001" customHeight="1" x14ac:dyDescent="0.35">
      <c r="D11" s="113"/>
      <c r="I11" s="9"/>
      <c r="T11" s="8"/>
      <c r="U11" s="8"/>
      <c r="W11" s="8"/>
    </row>
    <row r="12" spans="1:23" ht="20.100000000000001" customHeight="1" x14ac:dyDescent="0.35">
      <c r="D12" s="113"/>
      <c r="I12" s="9"/>
      <c r="T12" s="8"/>
      <c r="U12" s="8"/>
      <c r="W12" s="8"/>
    </row>
    <row r="13" spans="1:23" ht="20.100000000000001" customHeight="1" x14ac:dyDescent="0.35">
      <c r="D13" s="113"/>
      <c r="I13" s="9"/>
      <c r="T13" s="8"/>
      <c r="U13" s="8"/>
      <c r="W13" s="8"/>
    </row>
    <row r="14" spans="1:23" ht="20.100000000000001" customHeight="1" x14ac:dyDescent="0.35">
      <c r="D14" s="113"/>
      <c r="I14" s="9"/>
      <c r="T14" s="8"/>
      <c r="U14" s="8"/>
      <c r="W14" s="8"/>
    </row>
    <row r="15" spans="1:23" ht="20.100000000000001" customHeight="1" x14ac:dyDescent="0.35">
      <c r="D15" s="113"/>
      <c r="I15" s="9"/>
      <c r="T15" s="8"/>
      <c r="U15" s="8"/>
      <c r="W15" s="8"/>
    </row>
    <row r="16" spans="1:23" ht="20.100000000000001" customHeight="1" x14ac:dyDescent="0.35">
      <c r="D16" s="113"/>
      <c r="I16" s="9"/>
      <c r="T16" s="8"/>
      <c r="U16" s="8"/>
      <c r="W16" s="8"/>
    </row>
    <row r="17" spans="4:23" ht="20.100000000000001" customHeight="1" x14ac:dyDescent="0.35">
      <c r="D17" s="113"/>
      <c r="I17" s="9"/>
      <c r="T17" s="8"/>
      <c r="U17" s="8"/>
      <c r="W17" s="8"/>
    </row>
    <row r="18" spans="4:23" ht="20.100000000000001" customHeight="1" x14ac:dyDescent="0.35">
      <c r="D18" s="113"/>
      <c r="I18" s="9"/>
      <c r="T18" s="8"/>
      <c r="U18" s="8"/>
      <c r="W18" s="8"/>
    </row>
    <row r="19" spans="4:23" ht="20.100000000000001" customHeight="1" x14ac:dyDescent="0.35">
      <c r="D19" s="113"/>
      <c r="I19" s="9"/>
      <c r="T19" s="8"/>
      <c r="U19" s="114"/>
      <c r="W19" s="8"/>
    </row>
    <row r="20" spans="4:23" ht="20.100000000000001" customHeight="1" x14ac:dyDescent="0.35">
      <c r="D20" s="113"/>
      <c r="I20" s="9"/>
      <c r="T20" s="8"/>
      <c r="U20" s="8"/>
      <c r="W20" s="8"/>
    </row>
    <row r="21" spans="4:23" ht="20.100000000000001" customHeight="1" x14ac:dyDescent="0.35">
      <c r="I21" s="9"/>
      <c r="T21" s="8"/>
      <c r="U21" s="8"/>
      <c r="W21" s="8"/>
    </row>
    <row r="22" spans="4:23" ht="20.100000000000001" customHeight="1" x14ac:dyDescent="0.35">
      <c r="I22" s="9"/>
      <c r="T22" s="8"/>
      <c r="U22" s="8"/>
      <c r="W22" s="8"/>
    </row>
    <row r="23" spans="4:23" ht="20.100000000000001" customHeight="1" x14ac:dyDescent="0.35">
      <c r="H23" s="115"/>
      <c r="I23" s="9"/>
      <c r="T23" s="8"/>
      <c r="U23" s="8"/>
      <c r="W23" s="8"/>
    </row>
    <row r="24" spans="4:23" ht="20.100000000000001" customHeight="1" x14ac:dyDescent="0.35">
      <c r="I24" s="9"/>
      <c r="T24" s="8"/>
      <c r="U24" s="8"/>
      <c r="W24" s="8"/>
    </row>
    <row r="25" spans="4:23" ht="20.100000000000001" customHeight="1" x14ac:dyDescent="0.35">
      <c r="I25" s="9"/>
      <c r="T25" s="8"/>
      <c r="U25" s="8"/>
      <c r="W25" s="8"/>
    </row>
    <row r="26" spans="4:23" ht="20.100000000000001" customHeight="1" x14ac:dyDescent="0.35">
      <c r="I26" s="9"/>
      <c r="T26" s="8"/>
      <c r="U26" s="8"/>
      <c r="W26" s="8"/>
    </row>
    <row r="27" spans="4:23" ht="20.100000000000001" customHeight="1" x14ac:dyDescent="0.35">
      <c r="I27" s="9"/>
      <c r="T27" s="8"/>
      <c r="U27" s="8"/>
      <c r="W27" s="8"/>
    </row>
    <row r="28" spans="4:23" ht="20.100000000000001" customHeight="1" x14ac:dyDescent="0.35">
      <c r="I28" s="9"/>
      <c r="T28" s="8"/>
      <c r="U28" s="8"/>
      <c r="W28" s="8"/>
    </row>
    <row r="29" spans="4:23" ht="20.100000000000001" customHeight="1" x14ac:dyDescent="0.35">
      <c r="I29" s="9"/>
      <c r="T29" s="8"/>
      <c r="U29" s="8"/>
      <c r="W29" s="8"/>
    </row>
    <row r="30" spans="4:23" ht="20.100000000000001" customHeight="1" x14ac:dyDescent="0.35">
      <c r="I30" s="9"/>
      <c r="T30" s="8"/>
      <c r="U30" s="8"/>
      <c r="W30" s="8"/>
    </row>
    <row r="31" spans="4:23" ht="20.100000000000001" customHeight="1" x14ac:dyDescent="0.35">
      <c r="I31" s="9"/>
      <c r="T31" s="8"/>
      <c r="U31" s="8"/>
      <c r="W31" s="8"/>
    </row>
    <row r="32" spans="4:23" ht="20.100000000000001" customHeight="1" x14ac:dyDescent="0.35">
      <c r="I32" s="9"/>
      <c r="T32" s="8"/>
      <c r="U32" s="8"/>
      <c r="W32" s="8"/>
    </row>
    <row r="33" spans="7:23" ht="20.100000000000001" customHeight="1" x14ac:dyDescent="0.35">
      <c r="G33" s="115"/>
      <c r="I33" s="9"/>
      <c r="T33" s="8"/>
      <c r="U33" s="8"/>
      <c r="V33" s="116"/>
      <c r="W33" s="8"/>
    </row>
    <row r="34" spans="7:23" ht="20.100000000000001" customHeight="1" x14ac:dyDescent="0.35">
      <c r="I34" s="9"/>
      <c r="T34" s="8"/>
      <c r="U34" s="8"/>
      <c r="W34" s="8"/>
    </row>
    <row r="35" spans="7:23" ht="20.100000000000001" customHeight="1" x14ac:dyDescent="0.35">
      <c r="I35" s="9"/>
      <c r="T35" s="8"/>
      <c r="U35" s="8"/>
      <c r="W35" s="8"/>
    </row>
    <row r="36" spans="7:23" ht="20.100000000000001" customHeight="1" x14ac:dyDescent="0.35">
      <c r="I36" s="9"/>
      <c r="T36" s="8"/>
      <c r="U36" s="8"/>
      <c r="W36" s="8"/>
    </row>
    <row r="37" spans="7:23" ht="20.100000000000001" customHeight="1" x14ac:dyDescent="0.35">
      <c r="I37" s="9"/>
      <c r="T37" s="8"/>
      <c r="U37" s="8"/>
      <c r="W37" s="8"/>
    </row>
    <row r="38" spans="7:23" ht="20.100000000000001" customHeight="1" x14ac:dyDescent="0.35">
      <c r="I38" s="9"/>
      <c r="T38" s="8"/>
      <c r="U38" s="8"/>
      <c r="W38" s="8"/>
    </row>
    <row r="39" spans="7:23" ht="20.100000000000001" customHeight="1" x14ac:dyDescent="0.35">
      <c r="I39" s="9"/>
      <c r="T39" s="8"/>
      <c r="U39" s="8"/>
      <c r="W39" s="8"/>
    </row>
    <row r="40" spans="7:23" ht="20.100000000000001" customHeight="1" x14ac:dyDescent="0.35">
      <c r="I40" s="9"/>
      <c r="T40" s="8"/>
      <c r="U40" s="8"/>
      <c r="W40" s="8"/>
    </row>
    <row r="41" spans="7:23" ht="20.100000000000001" customHeight="1" x14ac:dyDescent="0.35">
      <c r="I41" s="9"/>
      <c r="T41" s="8"/>
      <c r="U41" s="8"/>
      <c r="W41" s="8"/>
    </row>
    <row r="42" spans="7:23" ht="20.100000000000001" customHeight="1" x14ac:dyDescent="0.35">
      <c r="I42" s="9"/>
      <c r="T42" s="8"/>
      <c r="U42" s="8"/>
      <c r="W42" s="8"/>
    </row>
    <row r="43" spans="7:23" ht="20.100000000000001" customHeight="1" x14ac:dyDescent="0.35">
      <c r="I43" s="9"/>
      <c r="T43" s="8"/>
      <c r="U43" s="8"/>
      <c r="W43" s="8"/>
    </row>
    <row r="44" spans="7:23" ht="20.100000000000001" customHeight="1" x14ac:dyDescent="0.35">
      <c r="I44" s="9"/>
      <c r="T44" s="8"/>
      <c r="U44" s="8"/>
      <c r="W44" s="8"/>
    </row>
    <row r="45" spans="7:23" ht="20.100000000000001" customHeight="1" x14ac:dyDescent="0.35">
      <c r="I45" s="9"/>
      <c r="T45" s="8"/>
      <c r="U45" s="8"/>
      <c r="W45" s="8"/>
    </row>
    <row r="46" spans="7:23" ht="20.100000000000001" customHeight="1" x14ac:dyDescent="0.35">
      <c r="I46" s="9"/>
      <c r="T46" s="8"/>
      <c r="U46" s="8"/>
      <c r="W46" s="8"/>
    </row>
    <row r="47" spans="7:23" ht="20.100000000000001" customHeight="1" x14ac:dyDescent="0.35">
      <c r="I47" s="9"/>
      <c r="T47" s="8"/>
      <c r="U47" s="8"/>
      <c r="W47" s="8"/>
    </row>
    <row r="48" spans="7:23" ht="20.100000000000001" customHeight="1" x14ac:dyDescent="0.35">
      <c r="I48" s="9"/>
      <c r="T48" s="8"/>
      <c r="U48" s="8"/>
      <c r="W48" s="8"/>
    </row>
    <row r="49" spans="9:23" ht="20.100000000000001" customHeight="1" x14ac:dyDescent="0.35">
      <c r="I49" s="9"/>
      <c r="T49" s="8"/>
      <c r="U49" s="8"/>
      <c r="W49" s="8"/>
    </row>
    <row r="50" spans="9:23" ht="20.100000000000001" customHeight="1" x14ac:dyDescent="0.35">
      <c r="I50" s="9"/>
      <c r="T50" s="8"/>
      <c r="U50" s="8"/>
      <c r="W50" s="8"/>
    </row>
    <row r="51" spans="9:23" ht="20.100000000000001" customHeight="1" x14ac:dyDescent="0.35">
      <c r="I51" s="9"/>
      <c r="T51" s="8"/>
      <c r="U51" s="8"/>
      <c r="W51" s="8"/>
    </row>
    <row r="52" spans="9:23" ht="20.100000000000001" customHeight="1" x14ac:dyDescent="0.35">
      <c r="I52" s="9"/>
      <c r="T52" s="8"/>
      <c r="U52" s="8"/>
      <c r="W52" s="8"/>
    </row>
    <row r="53" spans="9:23" ht="20.100000000000001" customHeight="1" x14ac:dyDescent="0.35">
      <c r="I53" s="9"/>
      <c r="T53" s="8"/>
      <c r="U53" s="8"/>
      <c r="W53" s="8"/>
    </row>
    <row r="54" spans="9:23" ht="20.100000000000001" customHeight="1" x14ac:dyDescent="0.35">
      <c r="I54" s="9"/>
      <c r="T54" s="8"/>
      <c r="U54" s="8"/>
      <c r="W54" s="8"/>
    </row>
    <row r="55" spans="9:23" ht="20.100000000000001" customHeight="1" x14ac:dyDescent="0.35">
      <c r="I55" s="9"/>
      <c r="T55" s="8"/>
      <c r="U55" s="8"/>
      <c r="W55" s="8"/>
    </row>
    <row r="56" spans="9:23" ht="20.100000000000001" customHeight="1" x14ac:dyDescent="0.35">
      <c r="I56" s="9"/>
      <c r="T56" s="8"/>
      <c r="U56" s="8"/>
      <c r="W56" s="8"/>
    </row>
    <row r="57" spans="9:23" ht="20.100000000000001" customHeight="1" x14ac:dyDescent="0.35">
      <c r="I57" s="9"/>
      <c r="T57" s="8"/>
      <c r="U57" s="8"/>
      <c r="W57" s="8"/>
    </row>
    <row r="58" spans="9:23" ht="20.100000000000001" customHeight="1" x14ac:dyDescent="0.35">
      <c r="I58" s="9"/>
      <c r="T58" s="8"/>
      <c r="U58" s="8"/>
      <c r="W58" s="8"/>
    </row>
    <row r="59" spans="9:23" ht="20.100000000000001" customHeight="1" x14ac:dyDescent="0.35">
      <c r="I59" s="9"/>
      <c r="T59" s="8"/>
      <c r="U59" s="8"/>
      <c r="W59" s="8"/>
    </row>
    <row r="60" spans="9:23" ht="20.100000000000001" customHeight="1" x14ac:dyDescent="0.35">
      <c r="I60" s="9"/>
      <c r="T60" s="8"/>
      <c r="U60" s="8"/>
      <c r="W60" s="8"/>
    </row>
    <row r="61" spans="9:23" ht="20.100000000000001" customHeight="1" x14ac:dyDescent="0.35">
      <c r="I61" s="9"/>
      <c r="T61" s="8"/>
      <c r="U61" s="8"/>
      <c r="W61" s="8"/>
    </row>
    <row r="62" spans="9:23" ht="20.100000000000001" customHeight="1" x14ac:dyDescent="0.35">
      <c r="I62" s="9"/>
      <c r="T62" s="8"/>
      <c r="U62" s="8"/>
      <c r="W62" s="8"/>
    </row>
    <row r="63" spans="9:23" ht="20.100000000000001" customHeight="1" x14ac:dyDescent="0.35">
      <c r="I63" s="9"/>
      <c r="T63" s="8"/>
      <c r="U63" s="8"/>
      <c r="W63" s="8"/>
    </row>
    <row r="64" spans="9:23" ht="20.100000000000001" customHeight="1" x14ac:dyDescent="0.35">
      <c r="I64" s="9"/>
      <c r="T64" s="8"/>
      <c r="U64" s="8"/>
      <c r="W64" s="8"/>
    </row>
    <row r="65" spans="9:23" ht="20.100000000000001" customHeight="1" x14ac:dyDescent="0.35">
      <c r="I65" s="9"/>
      <c r="T65" s="8"/>
      <c r="U65" s="8"/>
      <c r="W65" s="8"/>
    </row>
    <row r="66" spans="9:23" ht="20.100000000000001" customHeight="1" x14ac:dyDescent="0.35">
      <c r="I66" s="9"/>
      <c r="T66" s="8"/>
      <c r="U66" s="8"/>
      <c r="W66" s="8"/>
    </row>
    <row r="67" spans="9:23" ht="20.100000000000001" customHeight="1" x14ac:dyDescent="0.35">
      <c r="I67" s="9"/>
      <c r="T67" s="8"/>
      <c r="U67" s="8"/>
      <c r="W67" s="8"/>
    </row>
    <row r="68" spans="9:23" ht="20.100000000000001" customHeight="1" x14ac:dyDescent="0.35">
      <c r="I68" s="9"/>
      <c r="T68" s="8"/>
      <c r="U68" s="8"/>
      <c r="W68" s="8"/>
    </row>
    <row r="69" spans="9:23" ht="20.100000000000001" customHeight="1" x14ac:dyDescent="0.35">
      <c r="I69" s="9"/>
      <c r="T69" s="8"/>
      <c r="U69" s="8"/>
      <c r="W69" s="8"/>
    </row>
    <row r="70" spans="9:23" ht="20.100000000000001" customHeight="1" x14ac:dyDescent="0.35">
      <c r="I70" s="9"/>
      <c r="T70" s="8"/>
      <c r="U70" s="8"/>
      <c r="W70" s="8"/>
    </row>
    <row r="71" spans="9:23" ht="20.100000000000001" customHeight="1" x14ac:dyDescent="0.35">
      <c r="I71" s="9"/>
      <c r="T71" s="8"/>
      <c r="U71" s="8"/>
      <c r="W71" s="8"/>
    </row>
    <row r="72" spans="9:23" ht="20.100000000000001" customHeight="1" x14ac:dyDescent="0.35">
      <c r="I72" s="9"/>
      <c r="T72" s="8"/>
      <c r="U72" s="8"/>
      <c r="W72" s="8"/>
    </row>
    <row r="73" spans="9:23" ht="20.100000000000001" customHeight="1" x14ac:dyDescent="0.35">
      <c r="I73" s="9"/>
      <c r="T73" s="8"/>
      <c r="U73" s="8"/>
      <c r="W73" s="8"/>
    </row>
    <row r="74" spans="9:23" ht="20.100000000000001" customHeight="1" x14ac:dyDescent="0.35">
      <c r="I74" s="9"/>
      <c r="T74" s="8"/>
      <c r="U74" s="8"/>
      <c r="W74" s="8"/>
    </row>
    <row r="75" spans="9:23" ht="20.100000000000001" customHeight="1" x14ac:dyDescent="0.35">
      <c r="I75" s="9"/>
      <c r="T75" s="8"/>
      <c r="U75" s="8"/>
      <c r="W75" s="8"/>
    </row>
    <row r="76" spans="9:23" ht="20.100000000000001" customHeight="1" x14ac:dyDescent="0.35">
      <c r="I76" s="9"/>
      <c r="T76" s="8"/>
      <c r="U76" s="8"/>
      <c r="W76" s="8"/>
    </row>
    <row r="77" spans="9:23" ht="20.100000000000001" customHeight="1" x14ac:dyDescent="0.35">
      <c r="I77" s="9"/>
      <c r="T77" s="8"/>
      <c r="U77" s="8"/>
      <c r="W77" s="8"/>
    </row>
    <row r="78" spans="9:23" ht="20.100000000000001" customHeight="1" x14ac:dyDescent="0.35">
      <c r="I78" s="9"/>
      <c r="T78" s="8"/>
      <c r="U78" s="8"/>
      <c r="W78" s="8"/>
    </row>
    <row r="79" spans="9:23" ht="20.100000000000001" customHeight="1" x14ac:dyDescent="0.35">
      <c r="I79" s="9"/>
      <c r="T79" s="8"/>
      <c r="U79" s="8"/>
      <c r="W79" s="8"/>
    </row>
    <row r="80" spans="9:23" ht="20.100000000000001" customHeight="1" x14ac:dyDescent="0.35">
      <c r="I80" s="9"/>
      <c r="T80" s="8"/>
      <c r="U80" s="8"/>
      <c r="W80" s="8"/>
    </row>
    <row r="81" spans="9:23" ht="20.100000000000001" customHeight="1" x14ac:dyDescent="0.35">
      <c r="I81" s="9"/>
      <c r="T81" s="8"/>
      <c r="U81" s="8"/>
      <c r="W81" s="8"/>
    </row>
    <row r="82" spans="9:23" ht="20.100000000000001" customHeight="1" x14ac:dyDescent="0.35">
      <c r="I82" s="9"/>
      <c r="T82" s="8"/>
      <c r="U82" s="8"/>
      <c r="W82" s="8"/>
    </row>
    <row r="83" spans="9:23" ht="20.100000000000001" customHeight="1" x14ac:dyDescent="0.35">
      <c r="I83" s="9"/>
      <c r="T83" s="8"/>
      <c r="U83" s="8"/>
      <c r="W83" s="8"/>
    </row>
    <row r="84" spans="9:23" ht="20.100000000000001" customHeight="1" x14ac:dyDescent="0.35">
      <c r="I84" s="9"/>
      <c r="T84" s="8"/>
      <c r="U84" s="8"/>
      <c r="W84" s="8"/>
    </row>
    <row r="85" spans="9:23" ht="20.100000000000001" customHeight="1" x14ac:dyDescent="0.35">
      <c r="I85" s="9"/>
      <c r="T85" s="8"/>
      <c r="U85" s="8"/>
      <c r="W85" s="8"/>
    </row>
    <row r="86" spans="9:23" ht="20.100000000000001" customHeight="1" x14ac:dyDescent="0.35">
      <c r="I86" s="9"/>
      <c r="T86" s="8"/>
      <c r="U86" s="8"/>
      <c r="W86" s="8"/>
    </row>
    <row r="87" spans="9:23" ht="20.100000000000001" customHeight="1" x14ac:dyDescent="0.35">
      <c r="I87" s="9"/>
      <c r="T87" s="8"/>
      <c r="U87" s="8"/>
      <c r="W87" s="8"/>
    </row>
    <row r="88" spans="9:23" ht="20.100000000000001" customHeight="1" x14ac:dyDescent="0.35">
      <c r="I88" s="9"/>
      <c r="T88" s="8"/>
      <c r="U88" s="8"/>
      <c r="W88" s="8"/>
    </row>
    <row r="89" spans="9:23" ht="20.100000000000001" customHeight="1" x14ac:dyDescent="0.35">
      <c r="I89" s="9"/>
      <c r="T89" s="8"/>
      <c r="U89" s="8"/>
      <c r="W89" s="8"/>
    </row>
    <row r="90" spans="9:23" ht="20.100000000000001" customHeight="1" x14ac:dyDescent="0.35">
      <c r="I90" s="9"/>
      <c r="T90" s="8"/>
      <c r="U90" s="8"/>
      <c r="W90" s="8"/>
    </row>
    <row r="91" spans="9:23" ht="20.100000000000001" customHeight="1" x14ac:dyDescent="0.35">
      <c r="I91" s="9"/>
      <c r="T91" s="8"/>
      <c r="U91" s="8"/>
      <c r="W91" s="8"/>
    </row>
    <row r="92" spans="9:23" ht="20.100000000000001" customHeight="1" x14ac:dyDescent="0.35">
      <c r="I92" s="9"/>
      <c r="T92" s="8"/>
      <c r="U92" s="8"/>
      <c r="W92" s="8"/>
    </row>
    <row r="93" spans="9:23" ht="20.100000000000001" customHeight="1" x14ac:dyDescent="0.35">
      <c r="I93" s="9"/>
      <c r="T93" s="8"/>
      <c r="U93" s="8"/>
      <c r="W93" s="8"/>
    </row>
    <row r="94" spans="9:23" ht="20.100000000000001" customHeight="1" x14ac:dyDescent="0.35">
      <c r="I94" s="9"/>
      <c r="T94" s="8"/>
      <c r="U94" s="8"/>
      <c r="W94" s="8"/>
    </row>
    <row r="95" spans="9:23" ht="20.100000000000001" customHeight="1" x14ac:dyDescent="0.35">
      <c r="I95" s="9"/>
      <c r="T95" s="8"/>
      <c r="U95" s="8"/>
      <c r="W95" s="8"/>
    </row>
    <row r="96" spans="9:23" ht="20.100000000000001" customHeight="1" x14ac:dyDescent="0.35">
      <c r="I96" s="9"/>
      <c r="T96" s="8"/>
      <c r="U96" s="8"/>
      <c r="W96" s="8"/>
    </row>
    <row r="97" spans="9:23" ht="20.100000000000001" customHeight="1" x14ac:dyDescent="0.35">
      <c r="I97" s="9"/>
      <c r="T97" s="8"/>
      <c r="U97" s="8"/>
      <c r="W97" s="8"/>
    </row>
    <row r="98" spans="9:23" ht="20.100000000000001" customHeight="1" x14ac:dyDescent="0.35">
      <c r="I98" s="9"/>
      <c r="T98" s="8"/>
      <c r="U98" s="8"/>
      <c r="W98" s="8"/>
    </row>
    <row r="99" spans="9:23" ht="20.100000000000001" customHeight="1" x14ac:dyDescent="0.35">
      <c r="I99" s="9"/>
      <c r="T99" s="8"/>
      <c r="U99" s="8"/>
      <c r="W99" s="8"/>
    </row>
    <row r="100" spans="9:23" ht="20.100000000000001" customHeight="1" x14ac:dyDescent="0.35"/>
  </sheetData>
  <sheetProtection sheet="1" objects="1" scenarios="1"/>
  <sortState xmlns:xlrd2="http://schemas.microsoft.com/office/spreadsheetml/2017/richdata2" ref="A3:W7">
    <sortCondition ref="B3"/>
  </sortState>
  <mergeCells count="1">
    <mergeCell ref="A1:J1"/>
  </mergeCells>
  <printOptions horizontalCentered="1"/>
  <pageMargins left="0.47244094488188981" right="0.23622047244094491" top="0.74803149606299213" bottom="0.74803149606299213" header="0" footer="0"/>
  <pageSetup paperSize="9" orientation="landscape" horizontalDpi="4294967293" r:id="rId1"/>
  <headerFooter>
    <oddHeader>&amp;C&amp;"Arial Black"&amp;20Grand prix Oyeu-Burcin 2026</oddHeader>
    <oddFooter>&amp;C&amp;"Arial"&amp;G&amp;12AB =&gt; abandon        NC =&gt; non classé, arrivée en peloton        NP =&gt; non partant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9">
    <tabColor rgb="FF99CC00"/>
  </sheetPr>
  <dimension ref="A1:W100"/>
  <sheetViews>
    <sheetView showGridLines="0" showRowColHeaders="0" topLeftCell="B1" workbookViewId="0">
      <selection sqref="A1:J1"/>
    </sheetView>
  </sheetViews>
  <sheetFormatPr baseColWidth="10" defaultColWidth="11.59765625" defaultRowHeight="12.75" x14ac:dyDescent="0.35"/>
  <cols>
    <col min="1" max="1" width="9.265625" style="8" hidden="1" customWidth="1"/>
    <col min="2" max="2" width="11.73046875" style="8" customWidth="1"/>
    <col min="3" max="3" width="10.59765625" style="8" bestFit="1" customWidth="1"/>
    <col min="4" max="4" width="16" style="35" hidden="1" customWidth="1"/>
    <col min="5" max="5" width="13" style="8" bestFit="1" customWidth="1"/>
    <col min="6" max="6" width="8.3984375" style="8" customWidth="1"/>
    <col min="7" max="7" width="19.3984375" style="35" customWidth="1"/>
    <col min="8" max="8" width="18.1328125" style="35" customWidth="1"/>
    <col min="9" max="9" width="43.265625" style="8" customWidth="1"/>
    <col min="10" max="10" width="14.86328125" style="9" customWidth="1"/>
    <col min="11" max="16384" width="11.59765625" style="9"/>
  </cols>
  <sheetData>
    <row r="1" spans="1:23" s="29" customFormat="1" ht="35.1" customHeight="1" x14ac:dyDescent="0.35">
      <c r="A1" s="127" t="s">
        <v>391</v>
      </c>
      <c r="B1" s="127"/>
      <c r="C1" s="127"/>
      <c r="D1" s="127"/>
      <c r="E1" s="127"/>
      <c r="F1" s="127"/>
      <c r="G1" s="127"/>
      <c r="H1" s="127"/>
      <c r="I1" s="127"/>
      <c r="J1" s="127"/>
    </row>
    <row r="2" spans="1:23" s="34" customFormat="1" ht="24.95" customHeight="1" x14ac:dyDescent="0.35">
      <c r="B2" s="34" t="s">
        <v>152</v>
      </c>
      <c r="C2" s="34" t="s">
        <v>140</v>
      </c>
      <c r="D2" s="36" t="s">
        <v>141</v>
      </c>
      <c r="E2" s="34" t="s">
        <v>144</v>
      </c>
      <c r="F2" s="34" t="s">
        <v>162</v>
      </c>
      <c r="G2" s="34" t="s">
        <v>142</v>
      </c>
      <c r="H2" s="37" t="s">
        <v>192</v>
      </c>
      <c r="I2" s="37" t="s">
        <v>1</v>
      </c>
      <c r="J2" s="38" t="s">
        <v>165</v>
      </c>
      <c r="K2" s="29"/>
      <c r="L2" s="29"/>
      <c r="M2" s="29"/>
      <c r="N2" s="29"/>
      <c r="O2" s="29"/>
      <c r="P2" s="29"/>
      <c r="Q2" s="29"/>
      <c r="R2" s="29"/>
      <c r="S2" s="29"/>
      <c r="T2" s="28"/>
      <c r="U2" s="28"/>
      <c r="V2" s="29"/>
    </row>
    <row r="3" spans="1:23" ht="20.100000000000001" customHeight="1" x14ac:dyDescent="0.35">
      <c r="B3" s="8">
        <v>1</v>
      </c>
      <c r="C3" s="8">
        <v>93</v>
      </c>
      <c r="D3" s="113" t="s">
        <v>560</v>
      </c>
      <c r="G3" s="35" t="s">
        <v>558</v>
      </c>
      <c r="I3" s="9" t="s">
        <v>559</v>
      </c>
      <c r="T3" s="8"/>
      <c r="U3" s="8"/>
      <c r="W3" s="8"/>
    </row>
    <row r="4" spans="1:23" ht="20.100000000000001" customHeight="1" x14ac:dyDescent="0.35">
      <c r="B4" s="8">
        <v>2</v>
      </c>
      <c r="C4" s="8">
        <v>91</v>
      </c>
      <c r="D4" s="113" t="s">
        <v>651</v>
      </c>
      <c r="G4" s="35" t="s">
        <v>650</v>
      </c>
      <c r="I4" s="9" t="s">
        <v>563</v>
      </c>
      <c r="T4" s="8"/>
      <c r="U4" s="8"/>
      <c r="W4" s="8"/>
    </row>
    <row r="5" spans="1:23" ht="20.100000000000001" customHeight="1" x14ac:dyDescent="0.35">
      <c r="B5" s="8">
        <v>3</v>
      </c>
      <c r="C5" s="8">
        <v>95</v>
      </c>
      <c r="D5" s="113" t="s">
        <v>654</v>
      </c>
      <c r="G5" s="35" t="s">
        <v>761</v>
      </c>
      <c r="I5" s="9" t="s">
        <v>563</v>
      </c>
      <c r="T5" s="8"/>
      <c r="U5" s="8"/>
      <c r="W5" s="8"/>
    </row>
    <row r="6" spans="1:23" ht="20.100000000000001" customHeight="1" x14ac:dyDescent="0.35">
      <c r="B6" s="8">
        <v>4</v>
      </c>
      <c r="C6" s="8">
        <v>96</v>
      </c>
      <c r="D6" s="113" t="s">
        <v>656</v>
      </c>
      <c r="G6" s="35" t="s">
        <v>655</v>
      </c>
      <c r="I6" s="9" t="s">
        <v>563</v>
      </c>
      <c r="T6" s="8"/>
      <c r="U6" s="8"/>
      <c r="W6" s="8"/>
    </row>
    <row r="7" spans="1:23" ht="20.100000000000001" customHeight="1" x14ac:dyDescent="0.35">
      <c r="B7" s="8">
        <v>5</v>
      </c>
      <c r="C7" s="8">
        <v>92</v>
      </c>
      <c r="D7" s="113"/>
      <c r="G7" s="35" t="s">
        <v>652</v>
      </c>
      <c r="I7" s="9" t="s">
        <v>562</v>
      </c>
      <c r="T7" s="8"/>
      <c r="U7" s="8"/>
      <c r="W7" s="8"/>
    </row>
    <row r="8" spans="1:23" ht="20.100000000000001" customHeight="1" x14ac:dyDescent="0.35">
      <c r="B8" s="8" t="s">
        <v>395</v>
      </c>
      <c r="C8" s="8">
        <v>94</v>
      </c>
      <c r="D8" s="113"/>
      <c r="G8" s="35" t="s">
        <v>561</v>
      </c>
      <c r="I8" s="9" t="s">
        <v>562</v>
      </c>
      <c r="T8" s="8"/>
      <c r="U8" s="8"/>
      <c r="W8" s="8"/>
    </row>
    <row r="9" spans="1:23" ht="20.100000000000001" customHeight="1" x14ac:dyDescent="0.35">
      <c r="D9" s="113"/>
      <c r="I9" s="9"/>
      <c r="T9" s="8"/>
      <c r="U9" s="8"/>
      <c r="W9" s="8"/>
    </row>
    <row r="10" spans="1:23" ht="20.100000000000001" customHeight="1" x14ac:dyDescent="0.35">
      <c r="D10" s="113"/>
      <c r="I10" s="9"/>
      <c r="T10" s="8"/>
      <c r="U10" s="8"/>
      <c r="W10" s="8"/>
    </row>
    <row r="11" spans="1:23" ht="20.100000000000001" customHeight="1" x14ac:dyDescent="0.35">
      <c r="D11" s="113"/>
      <c r="I11" s="9"/>
      <c r="T11" s="8"/>
      <c r="U11" s="8"/>
      <c r="W11" s="8"/>
    </row>
    <row r="12" spans="1:23" ht="20.100000000000001" customHeight="1" x14ac:dyDescent="0.35">
      <c r="D12" s="113"/>
      <c r="I12" s="9"/>
      <c r="T12" s="8"/>
      <c r="U12" s="8"/>
      <c r="W12" s="8"/>
    </row>
    <row r="13" spans="1:23" ht="20.100000000000001" customHeight="1" x14ac:dyDescent="0.35">
      <c r="D13" s="113"/>
      <c r="I13" s="9"/>
      <c r="T13" s="8"/>
      <c r="U13" s="8"/>
      <c r="W13" s="8"/>
    </row>
    <row r="14" spans="1:23" ht="20.100000000000001" customHeight="1" x14ac:dyDescent="0.35">
      <c r="D14" s="113"/>
      <c r="I14" s="9"/>
      <c r="T14" s="8"/>
      <c r="U14" s="8"/>
      <c r="W14" s="8"/>
    </row>
    <row r="15" spans="1:23" ht="20.100000000000001" customHeight="1" x14ac:dyDescent="0.35">
      <c r="D15" s="113"/>
      <c r="I15" s="9"/>
      <c r="T15" s="8"/>
      <c r="U15" s="8"/>
      <c r="W15" s="8"/>
    </row>
    <row r="16" spans="1:23" ht="20.100000000000001" customHeight="1" x14ac:dyDescent="0.35">
      <c r="D16" s="113"/>
      <c r="I16" s="9"/>
      <c r="T16" s="8"/>
      <c r="U16" s="8"/>
      <c r="W16" s="8"/>
    </row>
    <row r="17" spans="4:23" ht="20.100000000000001" customHeight="1" x14ac:dyDescent="0.35">
      <c r="D17" s="113"/>
      <c r="I17" s="9"/>
      <c r="T17" s="8"/>
      <c r="U17" s="8"/>
      <c r="W17" s="8"/>
    </row>
    <row r="18" spans="4:23" ht="20.100000000000001" customHeight="1" x14ac:dyDescent="0.35">
      <c r="D18" s="113"/>
      <c r="I18" s="9"/>
      <c r="T18" s="8"/>
      <c r="U18" s="8"/>
      <c r="W18" s="8"/>
    </row>
    <row r="19" spans="4:23" ht="20.100000000000001" customHeight="1" x14ac:dyDescent="0.35">
      <c r="D19" s="113"/>
      <c r="I19" s="9"/>
      <c r="T19" s="8"/>
      <c r="U19" s="114"/>
      <c r="W19" s="8"/>
    </row>
    <row r="20" spans="4:23" ht="20.100000000000001" customHeight="1" x14ac:dyDescent="0.35">
      <c r="D20" s="113"/>
      <c r="I20" s="9"/>
      <c r="T20" s="8"/>
      <c r="U20" s="8"/>
      <c r="W20" s="8"/>
    </row>
    <row r="21" spans="4:23" ht="20.100000000000001" customHeight="1" x14ac:dyDescent="0.35">
      <c r="I21" s="9"/>
      <c r="T21" s="8"/>
      <c r="U21" s="8"/>
      <c r="W21" s="8"/>
    </row>
    <row r="22" spans="4:23" ht="20.100000000000001" customHeight="1" x14ac:dyDescent="0.35">
      <c r="I22" s="9"/>
      <c r="T22" s="8"/>
      <c r="U22" s="8"/>
      <c r="W22" s="8"/>
    </row>
    <row r="23" spans="4:23" ht="20.100000000000001" customHeight="1" x14ac:dyDescent="0.35">
      <c r="H23" s="115"/>
      <c r="I23" s="9"/>
      <c r="T23" s="8"/>
      <c r="U23" s="8"/>
      <c r="W23" s="8"/>
    </row>
    <row r="24" spans="4:23" ht="20.100000000000001" customHeight="1" x14ac:dyDescent="0.35">
      <c r="I24" s="9"/>
      <c r="T24" s="8"/>
      <c r="U24" s="8"/>
      <c r="W24" s="8"/>
    </row>
    <row r="25" spans="4:23" ht="20.100000000000001" customHeight="1" x14ac:dyDescent="0.35">
      <c r="I25" s="9"/>
      <c r="T25" s="8"/>
      <c r="U25" s="8"/>
      <c r="W25" s="8"/>
    </row>
    <row r="26" spans="4:23" ht="20.100000000000001" customHeight="1" x14ac:dyDescent="0.35">
      <c r="I26" s="9"/>
      <c r="T26" s="8"/>
      <c r="U26" s="8"/>
      <c r="W26" s="8"/>
    </row>
    <row r="27" spans="4:23" ht="20.100000000000001" customHeight="1" x14ac:dyDescent="0.35">
      <c r="I27" s="9"/>
      <c r="T27" s="8"/>
      <c r="U27" s="8"/>
      <c r="W27" s="8"/>
    </row>
    <row r="28" spans="4:23" ht="20.100000000000001" customHeight="1" x14ac:dyDescent="0.35">
      <c r="I28" s="9"/>
      <c r="T28" s="8"/>
      <c r="U28" s="8"/>
      <c r="W28" s="8"/>
    </row>
    <row r="29" spans="4:23" ht="20.100000000000001" customHeight="1" x14ac:dyDescent="0.35">
      <c r="I29" s="9"/>
      <c r="T29" s="8"/>
      <c r="U29" s="8"/>
      <c r="W29" s="8"/>
    </row>
    <row r="30" spans="4:23" ht="20.100000000000001" customHeight="1" x14ac:dyDescent="0.35">
      <c r="I30" s="9"/>
      <c r="T30" s="8"/>
      <c r="U30" s="8"/>
      <c r="W30" s="8"/>
    </row>
    <row r="31" spans="4:23" ht="20.100000000000001" customHeight="1" x14ac:dyDescent="0.35">
      <c r="I31" s="9"/>
      <c r="T31" s="8"/>
      <c r="U31" s="8"/>
      <c r="W31" s="8"/>
    </row>
    <row r="32" spans="4:23" ht="20.100000000000001" customHeight="1" x14ac:dyDescent="0.35">
      <c r="I32" s="9"/>
      <c r="T32" s="8"/>
      <c r="U32" s="8"/>
      <c r="W32" s="8"/>
    </row>
    <row r="33" spans="7:23" ht="20.100000000000001" customHeight="1" x14ac:dyDescent="0.35">
      <c r="G33" s="115"/>
      <c r="I33" s="9"/>
      <c r="T33" s="8"/>
      <c r="U33" s="8"/>
      <c r="V33" s="116"/>
      <c r="W33" s="8"/>
    </row>
    <row r="34" spans="7:23" ht="20.100000000000001" customHeight="1" x14ac:dyDescent="0.35">
      <c r="I34" s="9"/>
      <c r="T34" s="8"/>
      <c r="U34" s="8"/>
      <c r="W34" s="8"/>
    </row>
    <row r="35" spans="7:23" ht="20.100000000000001" customHeight="1" x14ac:dyDescent="0.35">
      <c r="I35" s="9"/>
      <c r="T35" s="8"/>
      <c r="U35" s="8"/>
      <c r="W35" s="8"/>
    </row>
    <row r="36" spans="7:23" ht="20.100000000000001" customHeight="1" x14ac:dyDescent="0.35">
      <c r="I36" s="9"/>
      <c r="T36" s="8"/>
      <c r="U36" s="8"/>
      <c r="W36" s="8"/>
    </row>
    <row r="37" spans="7:23" ht="20.100000000000001" customHeight="1" x14ac:dyDescent="0.35">
      <c r="I37" s="9"/>
      <c r="T37" s="8"/>
      <c r="U37" s="8"/>
      <c r="W37" s="8"/>
    </row>
    <row r="38" spans="7:23" ht="20.100000000000001" customHeight="1" x14ac:dyDescent="0.35">
      <c r="I38" s="9"/>
      <c r="T38" s="8"/>
      <c r="U38" s="8"/>
      <c r="W38" s="8"/>
    </row>
    <row r="39" spans="7:23" ht="20.100000000000001" customHeight="1" x14ac:dyDescent="0.35">
      <c r="I39" s="9"/>
      <c r="T39" s="8"/>
      <c r="U39" s="8"/>
      <c r="W39" s="8"/>
    </row>
    <row r="40" spans="7:23" ht="20.100000000000001" customHeight="1" x14ac:dyDescent="0.35">
      <c r="I40" s="9"/>
      <c r="T40" s="8"/>
      <c r="U40" s="8"/>
      <c r="W40" s="8"/>
    </row>
    <row r="41" spans="7:23" ht="20.100000000000001" customHeight="1" x14ac:dyDescent="0.35">
      <c r="I41" s="9"/>
      <c r="T41" s="8"/>
      <c r="U41" s="8"/>
      <c r="W41" s="8"/>
    </row>
    <row r="42" spans="7:23" ht="20.100000000000001" customHeight="1" x14ac:dyDescent="0.35">
      <c r="I42" s="9"/>
      <c r="T42" s="8"/>
      <c r="U42" s="8"/>
      <c r="W42" s="8"/>
    </row>
    <row r="43" spans="7:23" ht="20.100000000000001" customHeight="1" x14ac:dyDescent="0.35">
      <c r="I43" s="9"/>
      <c r="T43" s="8"/>
      <c r="U43" s="8"/>
      <c r="W43" s="8"/>
    </row>
    <row r="44" spans="7:23" ht="20.100000000000001" customHeight="1" x14ac:dyDescent="0.35">
      <c r="I44" s="9"/>
      <c r="T44" s="8"/>
      <c r="U44" s="8"/>
      <c r="W44" s="8"/>
    </row>
    <row r="45" spans="7:23" ht="20.100000000000001" customHeight="1" x14ac:dyDescent="0.35">
      <c r="I45" s="9"/>
      <c r="T45" s="8"/>
      <c r="U45" s="8"/>
      <c r="W45" s="8"/>
    </row>
    <row r="46" spans="7:23" ht="20.100000000000001" customHeight="1" x14ac:dyDescent="0.35">
      <c r="I46" s="9"/>
      <c r="T46" s="8"/>
      <c r="U46" s="8"/>
      <c r="W46" s="8"/>
    </row>
    <row r="47" spans="7:23" ht="20.100000000000001" customHeight="1" x14ac:dyDescent="0.35">
      <c r="I47" s="9"/>
      <c r="T47" s="8"/>
      <c r="U47" s="8"/>
      <c r="W47" s="8"/>
    </row>
    <row r="48" spans="7:23" ht="20.100000000000001" customHeight="1" x14ac:dyDescent="0.35">
      <c r="I48" s="9"/>
      <c r="T48" s="8"/>
      <c r="U48" s="8"/>
      <c r="W48" s="8"/>
    </row>
    <row r="49" spans="9:23" ht="20.100000000000001" customHeight="1" x14ac:dyDescent="0.35">
      <c r="I49" s="9"/>
      <c r="T49" s="8"/>
      <c r="U49" s="8"/>
      <c r="W49" s="8"/>
    </row>
    <row r="50" spans="9:23" ht="20.100000000000001" customHeight="1" x14ac:dyDescent="0.35">
      <c r="I50" s="9"/>
      <c r="T50" s="8"/>
      <c r="U50" s="8"/>
      <c r="W50" s="8"/>
    </row>
    <row r="51" spans="9:23" ht="20.100000000000001" customHeight="1" x14ac:dyDescent="0.35">
      <c r="I51" s="9"/>
      <c r="T51" s="8"/>
      <c r="U51" s="8"/>
      <c r="W51" s="8"/>
    </row>
    <row r="52" spans="9:23" ht="20.100000000000001" customHeight="1" x14ac:dyDescent="0.35">
      <c r="I52" s="9"/>
      <c r="T52" s="8"/>
      <c r="U52" s="8"/>
      <c r="W52" s="8"/>
    </row>
    <row r="53" spans="9:23" ht="20.100000000000001" customHeight="1" x14ac:dyDescent="0.35">
      <c r="I53" s="9"/>
      <c r="T53" s="8"/>
      <c r="U53" s="8"/>
      <c r="W53" s="8"/>
    </row>
    <row r="54" spans="9:23" ht="20.100000000000001" customHeight="1" x14ac:dyDescent="0.35">
      <c r="I54" s="9"/>
      <c r="T54" s="8"/>
      <c r="U54" s="8"/>
      <c r="W54" s="8"/>
    </row>
    <row r="55" spans="9:23" ht="20.100000000000001" customHeight="1" x14ac:dyDescent="0.35">
      <c r="I55" s="9"/>
      <c r="T55" s="8"/>
      <c r="U55" s="8"/>
      <c r="W55" s="8"/>
    </row>
    <row r="56" spans="9:23" ht="20.100000000000001" customHeight="1" x14ac:dyDescent="0.35">
      <c r="I56" s="9"/>
      <c r="T56" s="8"/>
      <c r="U56" s="8"/>
      <c r="W56" s="8"/>
    </row>
    <row r="57" spans="9:23" ht="20.100000000000001" customHeight="1" x14ac:dyDescent="0.35">
      <c r="I57" s="9"/>
      <c r="T57" s="8"/>
      <c r="U57" s="8"/>
      <c r="W57" s="8"/>
    </row>
    <row r="58" spans="9:23" ht="20.100000000000001" customHeight="1" x14ac:dyDescent="0.35">
      <c r="I58" s="9"/>
      <c r="T58" s="8"/>
      <c r="U58" s="8"/>
      <c r="W58" s="8"/>
    </row>
    <row r="59" spans="9:23" ht="20.100000000000001" customHeight="1" x14ac:dyDescent="0.35">
      <c r="I59" s="9"/>
      <c r="T59" s="8"/>
      <c r="U59" s="8"/>
      <c r="W59" s="8"/>
    </row>
    <row r="60" spans="9:23" ht="20.100000000000001" customHeight="1" x14ac:dyDescent="0.35">
      <c r="I60" s="9"/>
      <c r="T60" s="8"/>
      <c r="U60" s="8"/>
      <c r="W60" s="8"/>
    </row>
    <row r="61" spans="9:23" ht="20.100000000000001" customHeight="1" x14ac:dyDescent="0.35">
      <c r="I61" s="9"/>
      <c r="T61" s="8"/>
      <c r="U61" s="8"/>
      <c r="W61" s="8"/>
    </row>
    <row r="62" spans="9:23" ht="20.100000000000001" customHeight="1" x14ac:dyDescent="0.35">
      <c r="I62" s="9"/>
      <c r="T62" s="8"/>
      <c r="U62" s="8"/>
      <c r="W62" s="8"/>
    </row>
    <row r="63" spans="9:23" ht="20.100000000000001" customHeight="1" x14ac:dyDescent="0.35">
      <c r="I63" s="9"/>
      <c r="T63" s="8"/>
      <c r="U63" s="8"/>
      <c r="W63" s="8"/>
    </row>
    <row r="64" spans="9:23" ht="20.100000000000001" customHeight="1" x14ac:dyDescent="0.35">
      <c r="I64" s="9"/>
      <c r="T64" s="8"/>
      <c r="U64" s="8"/>
      <c r="W64" s="8"/>
    </row>
    <row r="65" spans="9:23" ht="20.100000000000001" customHeight="1" x14ac:dyDescent="0.35">
      <c r="I65" s="9"/>
      <c r="T65" s="8"/>
      <c r="U65" s="8"/>
      <c r="W65" s="8"/>
    </row>
    <row r="66" spans="9:23" ht="20.100000000000001" customHeight="1" x14ac:dyDescent="0.35">
      <c r="I66" s="9"/>
      <c r="T66" s="8"/>
      <c r="U66" s="8"/>
      <c r="W66" s="8"/>
    </row>
    <row r="67" spans="9:23" ht="20.100000000000001" customHeight="1" x14ac:dyDescent="0.35">
      <c r="I67" s="9"/>
      <c r="T67" s="8"/>
      <c r="U67" s="8"/>
      <c r="W67" s="8"/>
    </row>
    <row r="68" spans="9:23" ht="20.100000000000001" customHeight="1" x14ac:dyDescent="0.35">
      <c r="I68" s="9"/>
      <c r="T68" s="8"/>
      <c r="U68" s="8"/>
      <c r="W68" s="8"/>
    </row>
    <row r="69" spans="9:23" ht="20.100000000000001" customHeight="1" x14ac:dyDescent="0.35">
      <c r="I69" s="9"/>
      <c r="T69" s="8"/>
      <c r="U69" s="8"/>
      <c r="W69" s="8"/>
    </row>
    <row r="70" spans="9:23" ht="20.100000000000001" customHeight="1" x14ac:dyDescent="0.35">
      <c r="I70" s="9"/>
      <c r="T70" s="8"/>
      <c r="U70" s="8"/>
      <c r="W70" s="8"/>
    </row>
    <row r="71" spans="9:23" ht="20.100000000000001" customHeight="1" x14ac:dyDescent="0.35">
      <c r="I71" s="9"/>
      <c r="T71" s="8"/>
      <c r="U71" s="8"/>
      <c r="W71" s="8"/>
    </row>
    <row r="72" spans="9:23" ht="20.100000000000001" customHeight="1" x14ac:dyDescent="0.35">
      <c r="I72" s="9"/>
      <c r="T72" s="8"/>
      <c r="U72" s="8"/>
      <c r="W72" s="8"/>
    </row>
    <row r="73" spans="9:23" ht="20.100000000000001" customHeight="1" x14ac:dyDescent="0.35">
      <c r="I73" s="9"/>
      <c r="T73" s="8"/>
      <c r="U73" s="8"/>
      <c r="W73" s="8"/>
    </row>
    <row r="74" spans="9:23" ht="20.100000000000001" customHeight="1" x14ac:dyDescent="0.35">
      <c r="I74" s="9"/>
      <c r="T74" s="8"/>
      <c r="U74" s="8"/>
      <c r="W74" s="8"/>
    </row>
    <row r="75" spans="9:23" ht="20.100000000000001" customHeight="1" x14ac:dyDescent="0.35">
      <c r="I75" s="9"/>
      <c r="T75" s="8"/>
      <c r="U75" s="8"/>
      <c r="W75" s="8"/>
    </row>
    <row r="76" spans="9:23" ht="20.100000000000001" customHeight="1" x14ac:dyDescent="0.35">
      <c r="I76" s="9"/>
      <c r="T76" s="8"/>
      <c r="U76" s="8"/>
      <c r="W76" s="8"/>
    </row>
    <row r="77" spans="9:23" ht="20.100000000000001" customHeight="1" x14ac:dyDescent="0.35">
      <c r="I77" s="9"/>
      <c r="T77" s="8"/>
      <c r="U77" s="8"/>
      <c r="W77" s="8"/>
    </row>
    <row r="78" spans="9:23" ht="20.100000000000001" customHeight="1" x14ac:dyDescent="0.35">
      <c r="I78" s="9"/>
      <c r="T78" s="8"/>
      <c r="U78" s="8"/>
      <c r="W78" s="8"/>
    </row>
    <row r="79" spans="9:23" ht="20.100000000000001" customHeight="1" x14ac:dyDescent="0.35">
      <c r="I79" s="9"/>
      <c r="T79" s="8"/>
      <c r="U79" s="8"/>
      <c r="W79" s="8"/>
    </row>
    <row r="80" spans="9:23" ht="20.100000000000001" customHeight="1" x14ac:dyDescent="0.35">
      <c r="I80" s="9"/>
      <c r="T80" s="8"/>
      <c r="U80" s="8"/>
      <c r="W80" s="8"/>
    </row>
    <row r="81" spans="9:23" ht="20.100000000000001" customHeight="1" x14ac:dyDescent="0.35">
      <c r="I81" s="9"/>
      <c r="T81" s="8"/>
      <c r="U81" s="8"/>
      <c r="W81" s="8"/>
    </row>
    <row r="82" spans="9:23" ht="20.100000000000001" customHeight="1" x14ac:dyDescent="0.35">
      <c r="I82" s="9"/>
      <c r="T82" s="8"/>
      <c r="U82" s="8"/>
      <c r="W82" s="8"/>
    </row>
    <row r="83" spans="9:23" ht="20.100000000000001" customHeight="1" x14ac:dyDescent="0.35">
      <c r="I83" s="9"/>
      <c r="T83" s="8"/>
      <c r="U83" s="8"/>
      <c r="W83" s="8"/>
    </row>
    <row r="84" spans="9:23" ht="20.100000000000001" customHeight="1" x14ac:dyDescent="0.35">
      <c r="I84" s="9"/>
      <c r="T84" s="8"/>
      <c r="U84" s="8"/>
      <c r="W84" s="8"/>
    </row>
    <row r="85" spans="9:23" ht="20.100000000000001" customHeight="1" x14ac:dyDescent="0.35">
      <c r="I85" s="9"/>
      <c r="T85" s="8"/>
      <c r="U85" s="8"/>
      <c r="W85" s="8"/>
    </row>
    <row r="86" spans="9:23" ht="20.100000000000001" customHeight="1" x14ac:dyDescent="0.35">
      <c r="I86" s="9"/>
      <c r="T86" s="8"/>
      <c r="U86" s="8"/>
      <c r="W86" s="8"/>
    </row>
    <row r="87" spans="9:23" ht="20.100000000000001" customHeight="1" x14ac:dyDescent="0.35">
      <c r="I87" s="9"/>
      <c r="T87" s="8"/>
      <c r="U87" s="8"/>
      <c r="W87" s="8"/>
    </row>
    <row r="88" spans="9:23" ht="20.100000000000001" customHeight="1" x14ac:dyDescent="0.35">
      <c r="I88" s="9"/>
      <c r="T88" s="8"/>
      <c r="U88" s="8"/>
      <c r="W88" s="8"/>
    </row>
    <row r="89" spans="9:23" ht="20.100000000000001" customHeight="1" x14ac:dyDescent="0.35">
      <c r="I89" s="9"/>
      <c r="T89" s="8"/>
      <c r="U89" s="8"/>
      <c r="W89" s="8"/>
    </row>
    <row r="90" spans="9:23" ht="20.100000000000001" customHeight="1" x14ac:dyDescent="0.35">
      <c r="I90" s="9"/>
      <c r="T90" s="8"/>
      <c r="U90" s="8"/>
      <c r="W90" s="8"/>
    </row>
    <row r="91" spans="9:23" ht="20.100000000000001" customHeight="1" x14ac:dyDescent="0.35">
      <c r="I91" s="9"/>
      <c r="T91" s="8"/>
      <c r="U91" s="8"/>
      <c r="W91" s="8"/>
    </row>
    <row r="92" spans="9:23" ht="20.100000000000001" customHeight="1" x14ac:dyDescent="0.35">
      <c r="I92" s="9"/>
      <c r="T92" s="8"/>
      <c r="U92" s="8"/>
      <c r="W92" s="8"/>
    </row>
    <row r="93" spans="9:23" ht="20.100000000000001" customHeight="1" x14ac:dyDescent="0.35">
      <c r="I93" s="9"/>
      <c r="T93" s="8"/>
      <c r="U93" s="8"/>
      <c r="W93" s="8"/>
    </row>
    <row r="94" spans="9:23" ht="20.100000000000001" customHeight="1" x14ac:dyDescent="0.35">
      <c r="I94" s="9"/>
      <c r="T94" s="8"/>
      <c r="U94" s="8"/>
      <c r="W94" s="8"/>
    </row>
    <row r="95" spans="9:23" ht="20.100000000000001" customHeight="1" x14ac:dyDescent="0.35">
      <c r="I95" s="9"/>
      <c r="T95" s="8"/>
      <c r="U95" s="8"/>
      <c r="W95" s="8"/>
    </row>
    <row r="96" spans="9:23" ht="20.100000000000001" customHeight="1" x14ac:dyDescent="0.35">
      <c r="I96" s="9"/>
      <c r="T96" s="8"/>
      <c r="U96" s="8"/>
      <c r="W96" s="8"/>
    </row>
    <row r="97" spans="9:23" ht="20.100000000000001" customHeight="1" x14ac:dyDescent="0.35">
      <c r="I97" s="9"/>
      <c r="T97" s="8"/>
      <c r="U97" s="8"/>
      <c r="W97" s="8"/>
    </row>
    <row r="98" spans="9:23" ht="20.100000000000001" customHeight="1" x14ac:dyDescent="0.35">
      <c r="I98" s="9"/>
      <c r="T98" s="8"/>
      <c r="U98" s="8"/>
      <c r="W98" s="8"/>
    </row>
    <row r="99" spans="9:23" ht="20.100000000000001" customHeight="1" x14ac:dyDescent="0.35">
      <c r="I99" s="9"/>
      <c r="T99" s="8"/>
      <c r="U99" s="8"/>
      <c r="W99" s="8"/>
    </row>
    <row r="100" spans="9:23" ht="20.100000000000001" customHeight="1" x14ac:dyDescent="0.35"/>
  </sheetData>
  <sheetProtection sheet="1" objects="1" scenarios="1"/>
  <sortState xmlns:xlrd2="http://schemas.microsoft.com/office/spreadsheetml/2017/richdata2" ref="A3:W8">
    <sortCondition ref="B3"/>
  </sortState>
  <mergeCells count="1">
    <mergeCell ref="A1:J1"/>
  </mergeCells>
  <printOptions horizontalCentered="1"/>
  <pageMargins left="0.47244094488188981" right="0.23622047244094491" top="0.74803149606299213" bottom="0.74803149606299213" header="0" footer="0"/>
  <pageSetup paperSize="9" orientation="landscape" horizontalDpi="4294967293" r:id="rId1"/>
  <headerFooter>
    <oddHeader>&amp;C&amp;"Arial Black"&amp;20Grand prix Oyeu-Burcin 2026</oddHeader>
    <oddFooter>&amp;C&amp;"Arial"&amp;G&amp;12AB =&gt; abandon        NC =&gt; non classé, arrivée en peloton        NP =&gt; non partant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21">
    <tabColor rgb="FF99CC00"/>
  </sheetPr>
  <dimension ref="A1:W100"/>
  <sheetViews>
    <sheetView showGridLines="0" showRowColHeaders="0" topLeftCell="B1" workbookViewId="0">
      <selection sqref="A1:J1"/>
    </sheetView>
  </sheetViews>
  <sheetFormatPr baseColWidth="10" defaultColWidth="11.59765625" defaultRowHeight="12.75" x14ac:dyDescent="0.35"/>
  <cols>
    <col min="1" max="1" width="9.265625" style="8" hidden="1" customWidth="1"/>
    <col min="2" max="2" width="11.73046875" style="8" customWidth="1"/>
    <col min="3" max="3" width="10.59765625" style="8" bestFit="1" customWidth="1"/>
    <col min="4" max="4" width="16" style="35" hidden="1" customWidth="1"/>
    <col min="5" max="5" width="13" style="8" bestFit="1" customWidth="1"/>
    <col min="6" max="6" width="8.3984375" style="8" customWidth="1"/>
    <col min="7" max="7" width="19.3984375" style="35" customWidth="1"/>
    <col min="8" max="8" width="18.1328125" style="35" customWidth="1"/>
    <col min="9" max="9" width="43.265625" style="8" customWidth="1"/>
    <col min="10" max="10" width="14.86328125" style="9" customWidth="1"/>
    <col min="11" max="16384" width="11.59765625" style="9"/>
  </cols>
  <sheetData>
    <row r="1" spans="1:23" s="29" customFormat="1" ht="35.1" customHeight="1" x14ac:dyDescent="0.35">
      <c r="A1" s="127" t="s">
        <v>392</v>
      </c>
      <c r="B1" s="127"/>
      <c r="C1" s="127"/>
      <c r="D1" s="127"/>
      <c r="E1" s="127"/>
      <c r="F1" s="127"/>
      <c r="G1" s="127"/>
      <c r="H1" s="127"/>
      <c r="I1" s="127"/>
      <c r="J1" s="127"/>
    </row>
    <row r="2" spans="1:23" s="34" customFormat="1" ht="24.95" customHeight="1" x14ac:dyDescent="0.35">
      <c r="B2" s="34" t="s">
        <v>152</v>
      </c>
      <c r="C2" s="34" t="s">
        <v>140</v>
      </c>
      <c r="D2" s="36" t="s">
        <v>141</v>
      </c>
      <c r="E2" s="34" t="s">
        <v>144</v>
      </c>
      <c r="F2" s="34" t="s">
        <v>162</v>
      </c>
      <c r="G2" s="34" t="s">
        <v>142</v>
      </c>
      <c r="H2" s="37" t="s">
        <v>192</v>
      </c>
      <c r="I2" s="37" t="s">
        <v>1</v>
      </c>
      <c r="J2" s="38" t="s">
        <v>165</v>
      </c>
      <c r="K2" s="29"/>
      <c r="L2" s="29"/>
      <c r="M2" s="29"/>
      <c r="N2" s="29"/>
      <c r="O2" s="29"/>
      <c r="P2" s="29"/>
      <c r="Q2" s="29"/>
      <c r="R2" s="29"/>
      <c r="S2" s="29"/>
      <c r="T2" s="28"/>
      <c r="U2" s="28"/>
      <c r="V2" s="29"/>
    </row>
    <row r="3" spans="1:23" ht="20.100000000000001" customHeight="1" x14ac:dyDescent="0.35">
      <c r="D3" s="113"/>
      <c r="I3" s="9"/>
      <c r="T3" s="8"/>
      <c r="U3" s="8"/>
      <c r="W3" s="8"/>
    </row>
    <row r="4" spans="1:23" ht="20.100000000000001" customHeight="1" x14ac:dyDescent="0.35">
      <c r="D4" s="113"/>
      <c r="I4" s="9"/>
      <c r="T4" s="8"/>
      <c r="U4" s="8"/>
      <c r="W4" s="8"/>
    </row>
    <row r="5" spans="1:23" ht="20.100000000000001" customHeight="1" x14ac:dyDescent="0.35">
      <c r="D5" s="113"/>
      <c r="I5" s="9"/>
      <c r="T5" s="8"/>
      <c r="U5" s="8"/>
      <c r="W5" s="8"/>
    </row>
    <row r="6" spans="1:23" ht="20.100000000000001" customHeight="1" x14ac:dyDescent="0.35">
      <c r="D6" s="113"/>
      <c r="I6" s="9"/>
      <c r="T6" s="8"/>
      <c r="U6" s="8"/>
      <c r="W6" s="8"/>
    </row>
    <row r="7" spans="1:23" ht="20.100000000000001" customHeight="1" x14ac:dyDescent="0.35">
      <c r="D7" s="113"/>
      <c r="I7" s="9"/>
      <c r="T7" s="8"/>
      <c r="U7" s="8"/>
      <c r="W7" s="8"/>
    </row>
    <row r="8" spans="1:23" ht="20.100000000000001" customHeight="1" x14ac:dyDescent="0.35">
      <c r="D8" s="113"/>
      <c r="I8" s="9"/>
      <c r="T8" s="8"/>
      <c r="U8" s="8"/>
      <c r="W8" s="8"/>
    </row>
    <row r="9" spans="1:23" ht="20.100000000000001" customHeight="1" x14ac:dyDescent="0.35">
      <c r="D9" s="113"/>
      <c r="I9" s="9"/>
      <c r="T9" s="8"/>
      <c r="U9" s="8"/>
      <c r="W9" s="8"/>
    </row>
    <row r="10" spans="1:23" ht="20.100000000000001" customHeight="1" x14ac:dyDescent="0.35">
      <c r="D10" s="113"/>
      <c r="I10" s="9"/>
      <c r="T10" s="8"/>
      <c r="U10" s="8"/>
      <c r="W10" s="8"/>
    </row>
    <row r="11" spans="1:23" ht="20.100000000000001" customHeight="1" x14ac:dyDescent="0.35">
      <c r="D11" s="113"/>
      <c r="I11" s="9"/>
      <c r="T11" s="8"/>
      <c r="U11" s="8"/>
      <c r="W11" s="8"/>
    </row>
    <row r="12" spans="1:23" ht="20.100000000000001" customHeight="1" x14ac:dyDescent="0.35">
      <c r="D12" s="113"/>
      <c r="I12" s="9"/>
      <c r="T12" s="8"/>
      <c r="U12" s="8"/>
      <c r="W12" s="8"/>
    </row>
    <row r="13" spans="1:23" ht="20.100000000000001" customHeight="1" x14ac:dyDescent="0.35">
      <c r="D13" s="113"/>
      <c r="I13" s="9"/>
      <c r="T13" s="8"/>
      <c r="U13" s="8"/>
      <c r="W13" s="8"/>
    </row>
    <row r="14" spans="1:23" ht="20.100000000000001" customHeight="1" x14ac:dyDescent="0.35">
      <c r="D14" s="113"/>
      <c r="I14" s="9"/>
      <c r="T14" s="8"/>
      <c r="U14" s="8"/>
      <c r="W14" s="8"/>
    </row>
    <row r="15" spans="1:23" ht="20.100000000000001" customHeight="1" x14ac:dyDescent="0.35">
      <c r="D15" s="113"/>
      <c r="I15" s="9"/>
      <c r="T15" s="8"/>
      <c r="U15" s="8"/>
      <c r="W15" s="8"/>
    </row>
    <row r="16" spans="1:23" ht="20.100000000000001" customHeight="1" x14ac:dyDescent="0.35">
      <c r="D16" s="113"/>
      <c r="I16" s="9"/>
      <c r="T16" s="8"/>
      <c r="U16" s="8"/>
      <c r="W16" s="8"/>
    </row>
    <row r="17" spans="4:23" ht="20.100000000000001" customHeight="1" x14ac:dyDescent="0.35">
      <c r="D17" s="113"/>
      <c r="I17" s="9"/>
      <c r="T17" s="8"/>
      <c r="U17" s="8"/>
      <c r="W17" s="8"/>
    </row>
    <row r="18" spans="4:23" ht="20.100000000000001" customHeight="1" x14ac:dyDescent="0.35">
      <c r="D18" s="113"/>
      <c r="I18" s="9"/>
      <c r="T18" s="8"/>
      <c r="U18" s="8"/>
      <c r="W18" s="8"/>
    </row>
    <row r="19" spans="4:23" ht="20.100000000000001" customHeight="1" x14ac:dyDescent="0.35">
      <c r="D19" s="113"/>
      <c r="I19" s="9"/>
      <c r="T19" s="8"/>
      <c r="U19" s="114"/>
      <c r="W19" s="8"/>
    </row>
    <row r="20" spans="4:23" ht="20.100000000000001" customHeight="1" x14ac:dyDescent="0.35">
      <c r="D20" s="113"/>
      <c r="I20" s="9"/>
      <c r="T20" s="8"/>
      <c r="U20" s="8"/>
      <c r="W20" s="8"/>
    </row>
    <row r="21" spans="4:23" ht="20.100000000000001" customHeight="1" x14ac:dyDescent="0.35">
      <c r="I21" s="9"/>
      <c r="T21" s="8"/>
      <c r="U21" s="8"/>
      <c r="W21" s="8"/>
    </row>
    <row r="22" spans="4:23" ht="20.100000000000001" customHeight="1" x14ac:dyDescent="0.35">
      <c r="I22" s="9"/>
      <c r="T22" s="8"/>
      <c r="U22" s="8"/>
      <c r="W22" s="8"/>
    </row>
    <row r="23" spans="4:23" ht="20.100000000000001" customHeight="1" x14ac:dyDescent="0.35">
      <c r="H23" s="115"/>
      <c r="I23" s="9"/>
      <c r="T23" s="8"/>
      <c r="U23" s="8"/>
      <c r="W23" s="8"/>
    </row>
    <row r="24" spans="4:23" ht="20.100000000000001" customHeight="1" x14ac:dyDescent="0.35">
      <c r="I24" s="9"/>
      <c r="T24" s="8"/>
      <c r="U24" s="8"/>
      <c r="W24" s="8"/>
    </row>
    <row r="25" spans="4:23" ht="20.100000000000001" customHeight="1" x14ac:dyDescent="0.35">
      <c r="I25" s="9"/>
      <c r="T25" s="8"/>
      <c r="U25" s="8"/>
      <c r="W25" s="8"/>
    </row>
    <row r="26" spans="4:23" ht="20.100000000000001" customHeight="1" x14ac:dyDescent="0.35">
      <c r="I26" s="9"/>
      <c r="T26" s="8"/>
      <c r="U26" s="8"/>
      <c r="W26" s="8"/>
    </row>
    <row r="27" spans="4:23" ht="20.100000000000001" customHeight="1" x14ac:dyDescent="0.35">
      <c r="I27" s="9"/>
      <c r="T27" s="8"/>
      <c r="U27" s="8"/>
      <c r="W27" s="8"/>
    </row>
    <row r="28" spans="4:23" ht="20.100000000000001" customHeight="1" x14ac:dyDescent="0.35">
      <c r="I28" s="9"/>
      <c r="T28" s="8"/>
      <c r="U28" s="8"/>
      <c r="W28" s="8"/>
    </row>
    <row r="29" spans="4:23" ht="20.100000000000001" customHeight="1" x14ac:dyDescent="0.35">
      <c r="I29" s="9"/>
      <c r="T29" s="8"/>
      <c r="U29" s="8"/>
      <c r="W29" s="8"/>
    </row>
    <row r="30" spans="4:23" ht="20.100000000000001" customHeight="1" x14ac:dyDescent="0.35">
      <c r="I30" s="9"/>
      <c r="T30" s="8"/>
      <c r="U30" s="8"/>
      <c r="W30" s="8"/>
    </row>
    <row r="31" spans="4:23" ht="20.100000000000001" customHeight="1" x14ac:dyDescent="0.35">
      <c r="I31" s="9"/>
      <c r="T31" s="8"/>
      <c r="U31" s="8"/>
      <c r="W31" s="8"/>
    </row>
    <row r="32" spans="4:23" ht="20.100000000000001" customHeight="1" x14ac:dyDescent="0.35">
      <c r="I32" s="9"/>
      <c r="T32" s="8"/>
      <c r="U32" s="8"/>
      <c r="W32" s="8"/>
    </row>
    <row r="33" spans="7:23" ht="20.100000000000001" customHeight="1" x14ac:dyDescent="0.35">
      <c r="G33" s="115"/>
      <c r="I33" s="9"/>
      <c r="T33" s="8"/>
      <c r="U33" s="8"/>
      <c r="V33" s="116"/>
      <c r="W33" s="8"/>
    </row>
    <row r="34" spans="7:23" ht="20.100000000000001" customHeight="1" x14ac:dyDescent="0.35">
      <c r="I34" s="9"/>
      <c r="T34" s="8"/>
      <c r="U34" s="8"/>
      <c r="W34" s="8"/>
    </row>
    <row r="35" spans="7:23" ht="20.100000000000001" customHeight="1" x14ac:dyDescent="0.35">
      <c r="I35" s="9"/>
      <c r="T35" s="8"/>
      <c r="U35" s="8"/>
      <c r="W35" s="8"/>
    </row>
    <row r="36" spans="7:23" ht="20.100000000000001" customHeight="1" x14ac:dyDescent="0.35">
      <c r="I36" s="9"/>
      <c r="T36" s="8"/>
      <c r="U36" s="8"/>
      <c r="W36" s="8"/>
    </row>
    <row r="37" spans="7:23" ht="20.100000000000001" customHeight="1" x14ac:dyDescent="0.35">
      <c r="I37" s="9"/>
      <c r="T37" s="8"/>
      <c r="U37" s="8"/>
      <c r="W37" s="8"/>
    </row>
    <row r="38" spans="7:23" ht="20.100000000000001" customHeight="1" x14ac:dyDescent="0.35">
      <c r="I38" s="9"/>
      <c r="T38" s="8"/>
      <c r="U38" s="8"/>
      <c r="W38" s="8"/>
    </row>
    <row r="39" spans="7:23" ht="20.100000000000001" customHeight="1" x14ac:dyDescent="0.35">
      <c r="I39" s="9"/>
      <c r="T39" s="8"/>
      <c r="U39" s="8"/>
      <c r="W39" s="8"/>
    </row>
    <row r="40" spans="7:23" ht="20.100000000000001" customHeight="1" x14ac:dyDescent="0.35">
      <c r="I40" s="9"/>
      <c r="T40" s="8"/>
      <c r="U40" s="8"/>
      <c r="W40" s="8"/>
    </row>
    <row r="41" spans="7:23" ht="20.100000000000001" customHeight="1" x14ac:dyDescent="0.35">
      <c r="I41" s="9"/>
      <c r="T41" s="8"/>
      <c r="U41" s="8"/>
      <c r="W41" s="8"/>
    </row>
    <row r="42" spans="7:23" ht="20.100000000000001" customHeight="1" x14ac:dyDescent="0.35">
      <c r="I42" s="9"/>
      <c r="T42" s="8"/>
      <c r="U42" s="8"/>
      <c r="W42" s="8"/>
    </row>
    <row r="43" spans="7:23" ht="20.100000000000001" customHeight="1" x14ac:dyDescent="0.35">
      <c r="I43" s="9"/>
      <c r="T43" s="8"/>
      <c r="U43" s="8"/>
      <c r="W43" s="8"/>
    </row>
    <row r="44" spans="7:23" ht="20.100000000000001" customHeight="1" x14ac:dyDescent="0.35">
      <c r="I44" s="9"/>
      <c r="T44" s="8"/>
      <c r="U44" s="8"/>
      <c r="W44" s="8"/>
    </row>
    <row r="45" spans="7:23" ht="20.100000000000001" customHeight="1" x14ac:dyDescent="0.35">
      <c r="I45" s="9"/>
      <c r="T45" s="8"/>
      <c r="U45" s="8"/>
      <c r="W45" s="8"/>
    </row>
    <row r="46" spans="7:23" ht="20.100000000000001" customHeight="1" x14ac:dyDescent="0.35">
      <c r="I46" s="9"/>
      <c r="T46" s="8"/>
      <c r="U46" s="8"/>
      <c r="W46" s="8"/>
    </row>
    <row r="47" spans="7:23" ht="20.100000000000001" customHeight="1" x14ac:dyDescent="0.35">
      <c r="I47" s="9"/>
      <c r="T47" s="8"/>
      <c r="U47" s="8"/>
      <c r="W47" s="8"/>
    </row>
    <row r="48" spans="7:23" ht="20.100000000000001" customHeight="1" x14ac:dyDescent="0.35">
      <c r="I48" s="9"/>
      <c r="T48" s="8"/>
      <c r="U48" s="8"/>
      <c r="W48" s="8"/>
    </row>
    <row r="49" spans="9:23" ht="20.100000000000001" customHeight="1" x14ac:dyDescent="0.35">
      <c r="I49" s="9"/>
      <c r="T49" s="8"/>
      <c r="U49" s="8"/>
      <c r="W49" s="8"/>
    </row>
    <row r="50" spans="9:23" ht="20.100000000000001" customHeight="1" x14ac:dyDescent="0.35">
      <c r="I50" s="9"/>
      <c r="T50" s="8"/>
      <c r="U50" s="8"/>
      <c r="W50" s="8"/>
    </row>
    <row r="51" spans="9:23" ht="20.100000000000001" customHeight="1" x14ac:dyDescent="0.35">
      <c r="I51" s="9"/>
      <c r="T51" s="8"/>
      <c r="U51" s="8"/>
      <c r="W51" s="8"/>
    </row>
    <row r="52" spans="9:23" ht="20.100000000000001" customHeight="1" x14ac:dyDescent="0.35">
      <c r="I52" s="9"/>
      <c r="T52" s="8"/>
      <c r="U52" s="8"/>
      <c r="W52" s="8"/>
    </row>
    <row r="53" spans="9:23" ht="20.100000000000001" customHeight="1" x14ac:dyDescent="0.35">
      <c r="I53" s="9"/>
      <c r="T53" s="8"/>
      <c r="U53" s="8"/>
      <c r="W53" s="8"/>
    </row>
    <row r="54" spans="9:23" ht="20.100000000000001" customHeight="1" x14ac:dyDescent="0.35">
      <c r="I54" s="9"/>
      <c r="T54" s="8"/>
      <c r="U54" s="8"/>
      <c r="W54" s="8"/>
    </row>
    <row r="55" spans="9:23" ht="20.100000000000001" customHeight="1" x14ac:dyDescent="0.35">
      <c r="I55" s="9"/>
      <c r="T55" s="8"/>
      <c r="U55" s="8"/>
      <c r="W55" s="8"/>
    </row>
    <row r="56" spans="9:23" ht="20.100000000000001" customHeight="1" x14ac:dyDescent="0.35">
      <c r="I56" s="9"/>
      <c r="T56" s="8"/>
      <c r="U56" s="8"/>
      <c r="W56" s="8"/>
    </row>
    <row r="57" spans="9:23" ht="20.100000000000001" customHeight="1" x14ac:dyDescent="0.35">
      <c r="I57" s="9"/>
      <c r="T57" s="8"/>
      <c r="U57" s="8"/>
      <c r="W57" s="8"/>
    </row>
    <row r="58" spans="9:23" ht="20.100000000000001" customHeight="1" x14ac:dyDescent="0.35">
      <c r="I58" s="9"/>
      <c r="T58" s="8"/>
      <c r="U58" s="8"/>
      <c r="W58" s="8"/>
    </row>
    <row r="59" spans="9:23" ht="20.100000000000001" customHeight="1" x14ac:dyDescent="0.35">
      <c r="I59" s="9"/>
      <c r="T59" s="8"/>
      <c r="U59" s="8"/>
      <c r="W59" s="8"/>
    </row>
    <row r="60" spans="9:23" ht="20.100000000000001" customHeight="1" x14ac:dyDescent="0.35">
      <c r="I60" s="9"/>
      <c r="T60" s="8"/>
      <c r="U60" s="8"/>
      <c r="W60" s="8"/>
    </row>
    <row r="61" spans="9:23" ht="20.100000000000001" customHeight="1" x14ac:dyDescent="0.35">
      <c r="I61" s="9"/>
      <c r="T61" s="8"/>
      <c r="U61" s="8"/>
      <c r="W61" s="8"/>
    </row>
    <row r="62" spans="9:23" ht="20.100000000000001" customHeight="1" x14ac:dyDescent="0.35">
      <c r="I62" s="9"/>
      <c r="T62" s="8"/>
      <c r="U62" s="8"/>
      <c r="W62" s="8"/>
    </row>
    <row r="63" spans="9:23" ht="20.100000000000001" customHeight="1" x14ac:dyDescent="0.35">
      <c r="I63" s="9"/>
      <c r="T63" s="8"/>
      <c r="U63" s="8"/>
      <c r="W63" s="8"/>
    </row>
    <row r="64" spans="9:23" ht="20.100000000000001" customHeight="1" x14ac:dyDescent="0.35">
      <c r="I64" s="9"/>
      <c r="T64" s="8"/>
      <c r="U64" s="8"/>
      <c r="W64" s="8"/>
    </row>
    <row r="65" spans="9:23" ht="20.100000000000001" customHeight="1" x14ac:dyDescent="0.35">
      <c r="I65" s="9"/>
      <c r="T65" s="8"/>
      <c r="U65" s="8"/>
      <c r="W65" s="8"/>
    </row>
    <row r="66" spans="9:23" ht="20.100000000000001" customHeight="1" x14ac:dyDescent="0.35">
      <c r="I66" s="9"/>
      <c r="T66" s="8"/>
      <c r="U66" s="8"/>
      <c r="W66" s="8"/>
    </row>
    <row r="67" spans="9:23" ht="20.100000000000001" customHeight="1" x14ac:dyDescent="0.35">
      <c r="I67" s="9"/>
      <c r="T67" s="8"/>
      <c r="U67" s="8"/>
      <c r="W67" s="8"/>
    </row>
    <row r="68" spans="9:23" ht="20.100000000000001" customHeight="1" x14ac:dyDescent="0.35">
      <c r="I68" s="9"/>
      <c r="T68" s="8"/>
      <c r="U68" s="8"/>
      <c r="W68" s="8"/>
    </row>
    <row r="69" spans="9:23" ht="20.100000000000001" customHeight="1" x14ac:dyDescent="0.35">
      <c r="I69" s="9"/>
      <c r="T69" s="8"/>
      <c r="U69" s="8"/>
      <c r="W69" s="8"/>
    </row>
    <row r="70" spans="9:23" ht="20.100000000000001" customHeight="1" x14ac:dyDescent="0.35">
      <c r="I70" s="9"/>
      <c r="T70" s="8"/>
      <c r="U70" s="8"/>
      <c r="W70" s="8"/>
    </row>
    <row r="71" spans="9:23" ht="20.100000000000001" customHeight="1" x14ac:dyDescent="0.35">
      <c r="I71" s="9"/>
      <c r="T71" s="8"/>
      <c r="U71" s="8"/>
      <c r="W71" s="8"/>
    </row>
    <row r="72" spans="9:23" ht="20.100000000000001" customHeight="1" x14ac:dyDescent="0.35">
      <c r="I72" s="9"/>
      <c r="T72" s="8"/>
      <c r="U72" s="8"/>
      <c r="W72" s="8"/>
    </row>
    <row r="73" spans="9:23" ht="20.100000000000001" customHeight="1" x14ac:dyDescent="0.35">
      <c r="I73" s="9"/>
      <c r="T73" s="8"/>
      <c r="U73" s="8"/>
      <c r="W73" s="8"/>
    </row>
    <row r="74" spans="9:23" ht="20.100000000000001" customHeight="1" x14ac:dyDescent="0.35">
      <c r="I74" s="9"/>
      <c r="T74" s="8"/>
      <c r="U74" s="8"/>
      <c r="W74" s="8"/>
    </row>
    <row r="75" spans="9:23" ht="20.100000000000001" customHeight="1" x14ac:dyDescent="0.35">
      <c r="I75" s="9"/>
      <c r="T75" s="8"/>
      <c r="U75" s="8"/>
      <c r="W75" s="8"/>
    </row>
    <row r="76" spans="9:23" ht="20.100000000000001" customHeight="1" x14ac:dyDescent="0.35">
      <c r="I76" s="9"/>
      <c r="T76" s="8"/>
      <c r="U76" s="8"/>
      <c r="W76" s="8"/>
    </row>
    <row r="77" spans="9:23" ht="20.100000000000001" customHeight="1" x14ac:dyDescent="0.35">
      <c r="I77" s="9"/>
      <c r="T77" s="8"/>
      <c r="U77" s="8"/>
      <c r="W77" s="8"/>
    </row>
    <row r="78" spans="9:23" ht="20.100000000000001" customHeight="1" x14ac:dyDescent="0.35">
      <c r="I78" s="9"/>
      <c r="T78" s="8"/>
      <c r="U78" s="8"/>
      <c r="W78" s="8"/>
    </row>
    <row r="79" spans="9:23" ht="20.100000000000001" customHeight="1" x14ac:dyDescent="0.35">
      <c r="I79" s="9"/>
      <c r="T79" s="8"/>
      <c r="U79" s="8"/>
      <c r="W79" s="8"/>
    </row>
    <row r="80" spans="9:23" ht="20.100000000000001" customHeight="1" x14ac:dyDescent="0.35">
      <c r="I80" s="9"/>
      <c r="T80" s="8"/>
      <c r="U80" s="8"/>
      <c r="W80" s="8"/>
    </row>
    <row r="81" spans="9:23" ht="20.100000000000001" customHeight="1" x14ac:dyDescent="0.35">
      <c r="I81" s="9"/>
      <c r="T81" s="8"/>
      <c r="U81" s="8"/>
      <c r="W81" s="8"/>
    </row>
    <row r="82" spans="9:23" ht="20.100000000000001" customHeight="1" x14ac:dyDescent="0.35">
      <c r="I82" s="9"/>
      <c r="T82" s="8"/>
      <c r="U82" s="8"/>
      <c r="W82" s="8"/>
    </row>
    <row r="83" spans="9:23" ht="20.100000000000001" customHeight="1" x14ac:dyDescent="0.35">
      <c r="I83" s="9"/>
      <c r="T83" s="8"/>
      <c r="U83" s="8"/>
      <c r="W83" s="8"/>
    </row>
    <row r="84" spans="9:23" ht="20.100000000000001" customHeight="1" x14ac:dyDescent="0.35">
      <c r="I84" s="9"/>
      <c r="T84" s="8"/>
      <c r="U84" s="8"/>
      <c r="W84" s="8"/>
    </row>
    <row r="85" spans="9:23" ht="20.100000000000001" customHeight="1" x14ac:dyDescent="0.35">
      <c r="I85" s="9"/>
      <c r="T85" s="8"/>
      <c r="U85" s="8"/>
      <c r="W85" s="8"/>
    </row>
    <row r="86" spans="9:23" ht="20.100000000000001" customHeight="1" x14ac:dyDescent="0.35">
      <c r="I86" s="9"/>
      <c r="T86" s="8"/>
      <c r="U86" s="8"/>
      <c r="W86" s="8"/>
    </row>
    <row r="87" spans="9:23" ht="20.100000000000001" customHeight="1" x14ac:dyDescent="0.35">
      <c r="I87" s="9"/>
      <c r="T87" s="8"/>
      <c r="U87" s="8"/>
      <c r="W87" s="8"/>
    </row>
    <row r="88" spans="9:23" ht="20.100000000000001" customHeight="1" x14ac:dyDescent="0.35">
      <c r="I88" s="9"/>
      <c r="T88" s="8"/>
      <c r="U88" s="8"/>
      <c r="W88" s="8"/>
    </row>
    <row r="89" spans="9:23" ht="20.100000000000001" customHeight="1" x14ac:dyDescent="0.35">
      <c r="I89" s="9"/>
      <c r="T89" s="8"/>
      <c r="U89" s="8"/>
      <c r="W89" s="8"/>
    </row>
    <row r="90" spans="9:23" ht="20.100000000000001" customHeight="1" x14ac:dyDescent="0.35">
      <c r="I90" s="9"/>
      <c r="T90" s="8"/>
      <c r="U90" s="8"/>
      <c r="W90" s="8"/>
    </row>
    <row r="91" spans="9:23" ht="20.100000000000001" customHeight="1" x14ac:dyDescent="0.35">
      <c r="I91" s="9"/>
      <c r="T91" s="8"/>
      <c r="U91" s="8"/>
      <c r="W91" s="8"/>
    </row>
    <row r="92" spans="9:23" ht="20.100000000000001" customHeight="1" x14ac:dyDescent="0.35">
      <c r="I92" s="9"/>
      <c r="T92" s="8"/>
      <c r="U92" s="8"/>
      <c r="W92" s="8"/>
    </row>
    <row r="93" spans="9:23" ht="20.100000000000001" customHeight="1" x14ac:dyDescent="0.35">
      <c r="I93" s="9"/>
      <c r="T93" s="8"/>
      <c r="U93" s="8"/>
      <c r="W93" s="8"/>
    </row>
    <row r="94" spans="9:23" ht="20.100000000000001" customHeight="1" x14ac:dyDescent="0.35">
      <c r="I94" s="9"/>
      <c r="T94" s="8"/>
      <c r="U94" s="8"/>
      <c r="W94" s="8"/>
    </row>
    <row r="95" spans="9:23" ht="20.100000000000001" customHeight="1" x14ac:dyDescent="0.35">
      <c r="I95" s="9"/>
      <c r="T95" s="8"/>
      <c r="U95" s="8"/>
      <c r="W95" s="8"/>
    </row>
    <row r="96" spans="9:23" ht="20.100000000000001" customHeight="1" x14ac:dyDescent="0.35">
      <c r="I96" s="9"/>
      <c r="T96" s="8"/>
      <c r="U96" s="8"/>
      <c r="W96" s="8"/>
    </row>
    <row r="97" spans="9:23" ht="20.100000000000001" customHeight="1" x14ac:dyDescent="0.35">
      <c r="I97" s="9"/>
      <c r="T97" s="8"/>
      <c r="U97" s="8"/>
      <c r="W97" s="8"/>
    </row>
    <row r="98" spans="9:23" ht="20.100000000000001" customHeight="1" x14ac:dyDescent="0.35">
      <c r="I98" s="9"/>
      <c r="T98" s="8"/>
      <c r="U98" s="8"/>
      <c r="W98" s="8"/>
    </row>
    <row r="99" spans="9:23" ht="20.100000000000001" customHeight="1" x14ac:dyDescent="0.35">
      <c r="I99" s="9"/>
      <c r="T99" s="8"/>
      <c r="U99" s="8"/>
      <c r="W99" s="8"/>
    </row>
    <row r="100" spans="9:23" ht="20.100000000000001" customHeight="1" x14ac:dyDescent="0.35"/>
  </sheetData>
  <sheetProtection sheet="1" objects="1" scenarios="1"/>
  <sortState xmlns:xlrd2="http://schemas.microsoft.com/office/spreadsheetml/2017/richdata2" ref="A3:W3">
    <sortCondition ref="B3"/>
  </sortState>
  <mergeCells count="1">
    <mergeCell ref="A1:J1"/>
  </mergeCells>
  <printOptions horizontalCentered="1"/>
  <pageMargins left="0.47244094488188981" right="0.23622047244094491" top="0.74803149606299213" bottom="0.74803149606299213" header="0" footer="0"/>
  <pageSetup paperSize="9" orientation="landscape" horizontalDpi="4294967293" r:id="rId1"/>
  <headerFooter>
    <oddHeader>&amp;C&amp;"Arial Black"&amp;20Grand prix Oyeu-Burcin 2026</oddHeader>
    <oddFooter>&amp;C&amp;"Arial"&amp;G&amp;12AB =&gt; abandon        NC =&gt; non classé, arrivée en peloton        NP =&gt; non partant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4">
    <tabColor rgb="FF99CC00"/>
  </sheetPr>
  <dimension ref="A1:W100"/>
  <sheetViews>
    <sheetView showGridLines="0" showRowColHeaders="0" topLeftCell="B1" workbookViewId="0">
      <selection sqref="A1:J1"/>
    </sheetView>
  </sheetViews>
  <sheetFormatPr baseColWidth="10" defaultColWidth="11.59765625" defaultRowHeight="12.75" x14ac:dyDescent="0.35"/>
  <cols>
    <col min="1" max="1" width="9.265625" style="8" hidden="1" customWidth="1"/>
    <col min="2" max="2" width="11.73046875" style="8" customWidth="1"/>
    <col min="3" max="3" width="10.59765625" style="8" bestFit="1" customWidth="1"/>
    <col min="4" max="4" width="16" style="35" hidden="1" customWidth="1"/>
    <col min="5" max="5" width="13" style="8" bestFit="1" customWidth="1"/>
    <col min="6" max="6" width="8.3984375" style="8" customWidth="1"/>
    <col min="7" max="7" width="19.3984375" style="35" customWidth="1"/>
    <col min="8" max="8" width="18.1328125" style="35" customWidth="1"/>
    <col min="9" max="9" width="43.265625" style="8" customWidth="1"/>
    <col min="10" max="10" width="14.86328125" style="9" customWidth="1"/>
    <col min="11" max="16384" width="11.59765625" style="9"/>
  </cols>
  <sheetData>
    <row r="1" spans="1:23" s="29" customFormat="1" ht="35.1" customHeight="1" x14ac:dyDescent="0.35">
      <c r="A1" s="127" t="s">
        <v>393</v>
      </c>
      <c r="B1" s="127"/>
      <c r="C1" s="127"/>
      <c r="D1" s="127"/>
      <c r="E1" s="127"/>
      <c r="F1" s="127"/>
      <c r="G1" s="127"/>
      <c r="H1" s="127"/>
      <c r="I1" s="127"/>
      <c r="J1" s="127"/>
    </row>
    <row r="2" spans="1:23" s="34" customFormat="1" ht="24.95" customHeight="1" x14ac:dyDescent="0.35">
      <c r="B2" s="34" t="s">
        <v>152</v>
      </c>
      <c r="C2" s="34" t="s">
        <v>140</v>
      </c>
      <c r="D2" s="36" t="s">
        <v>141</v>
      </c>
      <c r="E2" s="34" t="s">
        <v>144</v>
      </c>
      <c r="F2" s="34" t="s">
        <v>162</v>
      </c>
      <c r="G2" s="34" t="s">
        <v>142</v>
      </c>
      <c r="H2" s="37" t="s">
        <v>192</v>
      </c>
      <c r="I2" s="37" t="s">
        <v>1</v>
      </c>
      <c r="J2" s="38" t="s">
        <v>165</v>
      </c>
      <c r="K2" s="29"/>
      <c r="L2" s="29"/>
      <c r="M2" s="29"/>
      <c r="N2" s="29"/>
      <c r="O2" s="29"/>
      <c r="P2" s="29"/>
      <c r="Q2" s="29"/>
      <c r="R2" s="29"/>
      <c r="S2" s="29"/>
      <c r="T2" s="28"/>
      <c r="U2" s="28"/>
      <c r="V2" s="29"/>
    </row>
    <row r="3" spans="1:23" ht="20.100000000000001" customHeight="1" x14ac:dyDescent="0.35">
      <c r="B3" s="8">
        <v>1</v>
      </c>
      <c r="C3" s="8">
        <v>31</v>
      </c>
      <c r="D3" s="113" t="s">
        <v>649</v>
      </c>
      <c r="G3" s="35" t="s">
        <v>762</v>
      </c>
      <c r="I3" s="9" t="s">
        <v>563</v>
      </c>
      <c r="T3" s="8"/>
      <c r="U3" s="8"/>
      <c r="W3" s="8"/>
    </row>
    <row r="4" spans="1:23" ht="20.100000000000001" customHeight="1" x14ac:dyDescent="0.35">
      <c r="D4" s="113"/>
      <c r="I4" s="9"/>
      <c r="T4" s="8"/>
      <c r="U4" s="8"/>
      <c r="W4" s="8"/>
    </row>
    <row r="5" spans="1:23" ht="20.100000000000001" customHeight="1" x14ac:dyDescent="0.35">
      <c r="D5" s="113"/>
      <c r="I5" s="9"/>
      <c r="T5" s="8"/>
      <c r="U5" s="8"/>
      <c r="W5" s="8"/>
    </row>
    <row r="6" spans="1:23" ht="20.100000000000001" customHeight="1" x14ac:dyDescent="0.35">
      <c r="D6" s="113"/>
      <c r="I6" s="9"/>
      <c r="T6" s="8"/>
      <c r="U6" s="8"/>
      <c r="W6" s="8"/>
    </row>
    <row r="7" spans="1:23" ht="20.100000000000001" customHeight="1" x14ac:dyDescent="0.35">
      <c r="D7" s="113"/>
      <c r="I7" s="9"/>
      <c r="T7" s="8"/>
      <c r="U7" s="8"/>
      <c r="W7" s="8"/>
    </row>
    <row r="8" spans="1:23" ht="20.100000000000001" customHeight="1" x14ac:dyDescent="0.35">
      <c r="D8" s="113"/>
      <c r="I8" s="9"/>
      <c r="T8" s="8"/>
      <c r="U8" s="8"/>
      <c r="W8" s="8"/>
    </row>
    <row r="9" spans="1:23" ht="20.100000000000001" customHeight="1" x14ac:dyDescent="0.35">
      <c r="D9" s="113"/>
      <c r="I9" s="9"/>
      <c r="T9" s="8"/>
      <c r="U9" s="8"/>
      <c r="W9" s="8"/>
    </row>
    <row r="10" spans="1:23" ht="20.100000000000001" customHeight="1" x14ac:dyDescent="0.35">
      <c r="D10" s="113"/>
      <c r="I10" s="9"/>
      <c r="T10" s="8"/>
      <c r="U10" s="8"/>
      <c r="W10" s="8"/>
    </row>
    <row r="11" spans="1:23" ht="20.100000000000001" customHeight="1" x14ac:dyDescent="0.35">
      <c r="D11" s="113"/>
      <c r="I11" s="9"/>
      <c r="T11" s="8"/>
      <c r="U11" s="8"/>
      <c r="W11" s="8"/>
    </row>
    <row r="12" spans="1:23" ht="20.100000000000001" customHeight="1" x14ac:dyDescent="0.35">
      <c r="D12" s="113"/>
      <c r="I12" s="9"/>
      <c r="T12" s="8"/>
      <c r="U12" s="8"/>
      <c r="W12" s="8"/>
    </row>
    <row r="13" spans="1:23" ht="20.100000000000001" customHeight="1" x14ac:dyDescent="0.35">
      <c r="D13" s="113"/>
      <c r="I13" s="9"/>
      <c r="T13" s="8"/>
      <c r="U13" s="8"/>
      <c r="W13" s="8"/>
    </row>
    <row r="14" spans="1:23" ht="20.100000000000001" customHeight="1" x14ac:dyDescent="0.35">
      <c r="D14" s="113"/>
      <c r="I14" s="9"/>
      <c r="T14" s="8"/>
      <c r="U14" s="8"/>
      <c r="W14" s="8"/>
    </row>
    <row r="15" spans="1:23" ht="20.100000000000001" customHeight="1" x14ac:dyDescent="0.35">
      <c r="D15" s="113"/>
      <c r="I15" s="9"/>
      <c r="T15" s="8"/>
      <c r="U15" s="8"/>
      <c r="W15" s="8"/>
    </row>
    <row r="16" spans="1:23" ht="20.100000000000001" customHeight="1" x14ac:dyDescent="0.35">
      <c r="D16" s="113"/>
      <c r="I16" s="9"/>
      <c r="T16" s="8"/>
      <c r="U16" s="8"/>
      <c r="W16" s="8"/>
    </row>
    <row r="17" spans="4:23" ht="20.100000000000001" customHeight="1" x14ac:dyDescent="0.35">
      <c r="D17" s="113"/>
      <c r="I17" s="9"/>
      <c r="T17" s="8"/>
      <c r="U17" s="8"/>
      <c r="W17" s="8"/>
    </row>
    <row r="18" spans="4:23" ht="20.100000000000001" customHeight="1" x14ac:dyDescent="0.35">
      <c r="D18" s="113"/>
      <c r="I18" s="9"/>
      <c r="T18" s="8"/>
      <c r="U18" s="8"/>
      <c r="W18" s="8"/>
    </row>
    <row r="19" spans="4:23" ht="20.100000000000001" customHeight="1" x14ac:dyDescent="0.35">
      <c r="D19" s="113"/>
      <c r="I19" s="9"/>
      <c r="T19" s="8"/>
      <c r="U19" s="114"/>
      <c r="W19" s="8"/>
    </row>
    <row r="20" spans="4:23" ht="20.100000000000001" customHeight="1" x14ac:dyDescent="0.35">
      <c r="D20" s="113"/>
      <c r="I20" s="9"/>
      <c r="T20" s="8"/>
      <c r="U20" s="8"/>
      <c r="W20" s="8"/>
    </row>
    <row r="21" spans="4:23" ht="20.100000000000001" customHeight="1" x14ac:dyDescent="0.35">
      <c r="I21" s="9"/>
      <c r="T21" s="8"/>
      <c r="U21" s="8"/>
      <c r="W21" s="8"/>
    </row>
    <row r="22" spans="4:23" ht="20.100000000000001" customHeight="1" x14ac:dyDescent="0.35">
      <c r="I22" s="9"/>
      <c r="T22" s="8"/>
      <c r="U22" s="8"/>
      <c r="W22" s="8"/>
    </row>
    <row r="23" spans="4:23" ht="20.100000000000001" customHeight="1" x14ac:dyDescent="0.35">
      <c r="H23" s="115"/>
      <c r="I23" s="9"/>
      <c r="T23" s="8"/>
      <c r="U23" s="8"/>
      <c r="W23" s="8"/>
    </row>
    <row r="24" spans="4:23" ht="20.100000000000001" customHeight="1" x14ac:dyDescent="0.35">
      <c r="I24" s="9"/>
      <c r="T24" s="8"/>
      <c r="U24" s="8"/>
      <c r="W24" s="8"/>
    </row>
    <row r="25" spans="4:23" ht="20.100000000000001" customHeight="1" x14ac:dyDescent="0.35">
      <c r="I25" s="9"/>
      <c r="T25" s="8"/>
      <c r="U25" s="8"/>
      <c r="W25" s="8"/>
    </row>
    <row r="26" spans="4:23" ht="20.100000000000001" customHeight="1" x14ac:dyDescent="0.35">
      <c r="I26" s="9"/>
      <c r="T26" s="8"/>
      <c r="U26" s="8"/>
      <c r="W26" s="8"/>
    </row>
    <row r="27" spans="4:23" ht="20.100000000000001" customHeight="1" x14ac:dyDescent="0.35">
      <c r="I27" s="9"/>
      <c r="T27" s="8"/>
      <c r="U27" s="8"/>
      <c r="W27" s="8"/>
    </row>
    <row r="28" spans="4:23" ht="20.100000000000001" customHeight="1" x14ac:dyDescent="0.35">
      <c r="I28" s="9"/>
      <c r="T28" s="8"/>
      <c r="U28" s="8"/>
      <c r="W28" s="8"/>
    </row>
    <row r="29" spans="4:23" ht="20.100000000000001" customHeight="1" x14ac:dyDescent="0.35">
      <c r="I29" s="9"/>
      <c r="T29" s="8"/>
      <c r="U29" s="8"/>
      <c r="W29" s="8"/>
    </row>
    <row r="30" spans="4:23" ht="20.100000000000001" customHeight="1" x14ac:dyDescent="0.35">
      <c r="I30" s="9"/>
      <c r="T30" s="8"/>
      <c r="U30" s="8"/>
      <c r="W30" s="8"/>
    </row>
    <row r="31" spans="4:23" ht="20.100000000000001" customHeight="1" x14ac:dyDescent="0.35">
      <c r="I31" s="9"/>
      <c r="T31" s="8"/>
      <c r="U31" s="8"/>
      <c r="W31" s="8"/>
    </row>
    <row r="32" spans="4:23" ht="20.100000000000001" customHeight="1" x14ac:dyDescent="0.35">
      <c r="I32" s="9"/>
      <c r="T32" s="8"/>
      <c r="U32" s="8"/>
      <c r="W32" s="8"/>
    </row>
    <row r="33" spans="7:23" ht="20.100000000000001" customHeight="1" x14ac:dyDescent="0.35">
      <c r="G33" s="115"/>
      <c r="I33" s="9"/>
      <c r="T33" s="8"/>
      <c r="U33" s="8"/>
      <c r="V33" s="116"/>
      <c r="W33" s="8"/>
    </row>
    <row r="34" spans="7:23" ht="20.100000000000001" customHeight="1" x14ac:dyDescent="0.35">
      <c r="I34" s="9"/>
      <c r="T34" s="8"/>
      <c r="U34" s="8"/>
      <c r="W34" s="8"/>
    </row>
    <row r="35" spans="7:23" ht="20.100000000000001" customHeight="1" x14ac:dyDescent="0.35">
      <c r="I35" s="9"/>
      <c r="T35" s="8"/>
      <c r="U35" s="8"/>
      <c r="W35" s="8"/>
    </row>
    <row r="36" spans="7:23" ht="20.100000000000001" customHeight="1" x14ac:dyDescent="0.35">
      <c r="I36" s="9"/>
      <c r="T36" s="8"/>
      <c r="U36" s="8"/>
      <c r="W36" s="8"/>
    </row>
    <row r="37" spans="7:23" ht="20.100000000000001" customHeight="1" x14ac:dyDescent="0.35">
      <c r="I37" s="9"/>
      <c r="T37" s="8"/>
      <c r="U37" s="8"/>
      <c r="W37" s="8"/>
    </row>
    <row r="38" spans="7:23" ht="20.100000000000001" customHeight="1" x14ac:dyDescent="0.35">
      <c r="I38" s="9"/>
      <c r="T38" s="8"/>
      <c r="U38" s="8"/>
      <c r="W38" s="8"/>
    </row>
    <row r="39" spans="7:23" ht="20.100000000000001" customHeight="1" x14ac:dyDescent="0.35">
      <c r="I39" s="9"/>
      <c r="T39" s="8"/>
      <c r="U39" s="8"/>
      <c r="W39" s="8"/>
    </row>
    <row r="40" spans="7:23" ht="20.100000000000001" customHeight="1" x14ac:dyDescent="0.35">
      <c r="I40" s="9"/>
      <c r="T40" s="8"/>
      <c r="U40" s="8"/>
      <c r="W40" s="8"/>
    </row>
    <row r="41" spans="7:23" ht="20.100000000000001" customHeight="1" x14ac:dyDescent="0.35">
      <c r="I41" s="9"/>
      <c r="T41" s="8"/>
      <c r="U41" s="8"/>
      <c r="W41" s="8"/>
    </row>
    <row r="42" spans="7:23" ht="20.100000000000001" customHeight="1" x14ac:dyDescent="0.35">
      <c r="I42" s="9"/>
      <c r="T42" s="8"/>
      <c r="U42" s="8"/>
      <c r="W42" s="8"/>
    </row>
    <row r="43" spans="7:23" ht="20.100000000000001" customHeight="1" x14ac:dyDescent="0.35">
      <c r="I43" s="9"/>
      <c r="T43" s="8"/>
      <c r="U43" s="8"/>
      <c r="W43" s="8"/>
    </row>
    <row r="44" spans="7:23" ht="20.100000000000001" customHeight="1" x14ac:dyDescent="0.35">
      <c r="I44" s="9"/>
      <c r="T44" s="8"/>
      <c r="U44" s="8"/>
      <c r="W44" s="8"/>
    </row>
    <row r="45" spans="7:23" ht="20.100000000000001" customHeight="1" x14ac:dyDescent="0.35">
      <c r="I45" s="9"/>
      <c r="T45" s="8"/>
      <c r="U45" s="8"/>
      <c r="W45" s="8"/>
    </row>
    <row r="46" spans="7:23" ht="20.100000000000001" customHeight="1" x14ac:dyDescent="0.35">
      <c r="I46" s="9"/>
      <c r="T46" s="8"/>
      <c r="U46" s="8"/>
      <c r="W46" s="8"/>
    </row>
    <row r="47" spans="7:23" ht="20.100000000000001" customHeight="1" x14ac:dyDescent="0.35">
      <c r="I47" s="9"/>
      <c r="T47" s="8"/>
      <c r="U47" s="8"/>
      <c r="W47" s="8"/>
    </row>
    <row r="48" spans="7:23" ht="20.100000000000001" customHeight="1" x14ac:dyDescent="0.35">
      <c r="I48" s="9"/>
      <c r="T48" s="8"/>
      <c r="U48" s="8"/>
      <c r="W48" s="8"/>
    </row>
    <row r="49" spans="9:23" ht="20.100000000000001" customHeight="1" x14ac:dyDescent="0.35">
      <c r="I49" s="9"/>
      <c r="T49" s="8"/>
      <c r="U49" s="8"/>
      <c r="W49" s="8"/>
    </row>
    <row r="50" spans="9:23" ht="20.100000000000001" customHeight="1" x14ac:dyDescent="0.35">
      <c r="I50" s="9"/>
      <c r="T50" s="8"/>
      <c r="U50" s="8"/>
      <c r="W50" s="8"/>
    </row>
    <row r="51" spans="9:23" ht="20.100000000000001" customHeight="1" x14ac:dyDescent="0.35">
      <c r="I51" s="9"/>
      <c r="T51" s="8"/>
      <c r="U51" s="8"/>
      <c r="W51" s="8"/>
    </row>
    <row r="52" spans="9:23" ht="20.100000000000001" customHeight="1" x14ac:dyDescent="0.35">
      <c r="I52" s="9"/>
      <c r="T52" s="8"/>
      <c r="U52" s="8"/>
      <c r="W52" s="8"/>
    </row>
    <row r="53" spans="9:23" ht="20.100000000000001" customHeight="1" x14ac:dyDescent="0.35">
      <c r="I53" s="9"/>
      <c r="T53" s="8"/>
      <c r="U53" s="8"/>
      <c r="W53" s="8"/>
    </row>
    <row r="54" spans="9:23" ht="20.100000000000001" customHeight="1" x14ac:dyDescent="0.35">
      <c r="I54" s="9"/>
      <c r="T54" s="8"/>
      <c r="U54" s="8"/>
      <c r="W54" s="8"/>
    </row>
    <row r="55" spans="9:23" ht="20.100000000000001" customHeight="1" x14ac:dyDescent="0.35">
      <c r="I55" s="9"/>
      <c r="T55" s="8"/>
      <c r="U55" s="8"/>
      <c r="W55" s="8"/>
    </row>
    <row r="56" spans="9:23" ht="20.100000000000001" customHeight="1" x14ac:dyDescent="0.35">
      <c r="I56" s="9"/>
      <c r="T56" s="8"/>
      <c r="U56" s="8"/>
      <c r="W56" s="8"/>
    </row>
    <row r="57" spans="9:23" ht="20.100000000000001" customHeight="1" x14ac:dyDescent="0.35">
      <c r="I57" s="9"/>
      <c r="T57" s="8"/>
      <c r="U57" s="8"/>
      <c r="W57" s="8"/>
    </row>
    <row r="58" spans="9:23" ht="20.100000000000001" customHeight="1" x14ac:dyDescent="0.35">
      <c r="I58" s="9"/>
      <c r="T58" s="8"/>
      <c r="U58" s="8"/>
      <c r="W58" s="8"/>
    </row>
    <row r="59" spans="9:23" ht="20.100000000000001" customHeight="1" x14ac:dyDescent="0.35">
      <c r="I59" s="9"/>
      <c r="T59" s="8"/>
      <c r="U59" s="8"/>
      <c r="W59" s="8"/>
    </row>
    <row r="60" spans="9:23" ht="20.100000000000001" customHeight="1" x14ac:dyDescent="0.35">
      <c r="I60" s="9"/>
      <c r="T60" s="8"/>
      <c r="U60" s="8"/>
      <c r="W60" s="8"/>
    </row>
    <row r="61" spans="9:23" ht="20.100000000000001" customHeight="1" x14ac:dyDescent="0.35">
      <c r="I61" s="9"/>
      <c r="T61" s="8"/>
      <c r="U61" s="8"/>
      <c r="W61" s="8"/>
    </row>
    <row r="62" spans="9:23" ht="20.100000000000001" customHeight="1" x14ac:dyDescent="0.35">
      <c r="I62" s="9"/>
      <c r="T62" s="8"/>
      <c r="U62" s="8"/>
      <c r="W62" s="8"/>
    </row>
    <row r="63" spans="9:23" ht="20.100000000000001" customHeight="1" x14ac:dyDescent="0.35">
      <c r="I63" s="9"/>
      <c r="T63" s="8"/>
      <c r="U63" s="8"/>
      <c r="W63" s="8"/>
    </row>
    <row r="64" spans="9:23" ht="20.100000000000001" customHeight="1" x14ac:dyDescent="0.35">
      <c r="I64" s="9"/>
      <c r="T64" s="8"/>
      <c r="U64" s="8"/>
      <c r="W64" s="8"/>
    </row>
    <row r="65" spans="9:23" ht="20.100000000000001" customHeight="1" x14ac:dyDescent="0.35">
      <c r="I65" s="9"/>
      <c r="T65" s="8"/>
      <c r="U65" s="8"/>
      <c r="W65" s="8"/>
    </row>
    <row r="66" spans="9:23" ht="20.100000000000001" customHeight="1" x14ac:dyDescent="0.35">
      <c r="I66" s="9"/>
      <c r="T66" s="8"/>
      <c r="U66" s="8"/>
      <c r="W66" s="8"/>
    </row>
    <row r="67" spans="9:23" ht="20.100000000000001" customHeight="1" x14ac:dyDescent="0.35">
      <c r="I67" s="9"/>
      <c r="T67" s="8"/>
      <c r="U67" s="8"/>
      <c r="W67" s="8"/>
    </row>
    <row r="68" spans="9:23" ht="20.100000000000001" customHeight="1" x14ac:dyDescent="0.35">
      <c r="I68" s="9"/>
      <c r="T68" s="8"/>
      <c r="U68" s="8"/>
      <c r="W68" s="8"/>
    </row>
    <row r="69" spans="9:23" ht="20.100000000000001" customHeight="1" x14ac:dyDescent="0.35">
      <c r="I69" s="9"/>
      <c r="T69" s="8"/>
      <c r="U69" s="8"/>
      <c r="W69" s="8"/>
    </row>
    <row r="70" spans="9:23" ht="20.100000000000001" customHeight="1" x14ac:dyDescent="0.35">
      <c r="I70" s="9"/>
      <c r="T70" s="8"/>
      <c r="U70" s="8"/>
      <c r="W70" s="8"/>
    </row>
    <row r="71" spans="9:23" ht="20.100000000000001" customHeight="1" x14ac:dyDescent="0.35">
      <c r="I71" s="9"/>
      <c r="T71" s="8"/>
      <c r="U71" s="8"/>
      <c r="W71" s="8"/>
    </row>
    <row r="72" spans="9:23" ht="20.100000000000001" customHeight="1" x14ac:dyDescent="0.35">
      <c r="I72" s="9"/>
      <c r="T72" s="8"/>
      <c r="U72" s="8"/>
      <c r="W72" s="8"/>
    </row>
    <row r="73" spans="9:23" ht="20.100000000000001" customHeight="1" x14ac:dyDescent="0.35">
      <c r="I73" s="9"/>
      <c r="T73" s="8"/>
      <c r="U73" s="8"/>
      <c r="W73" s="8"/>
    </row>
    <row r="74" spans="9:23" ht="20.100000000000001" customHeight="1" x14ac:dyDescent="0.35">
      <c r="I74" s="9"/>
      <c r="T74" s="8"/>
      <c r="U74" s="8"/>
      <c r="W74" s="8"/>
    </row>
    <row r="75" spans="9:23" ht="20.100000000000001" customHeight="1" x14ac:dyDescent="0.35">
      <c r="I75" s="9"/>
      <c r="T75" s="8"/>
      <c r="U75" s="8"/>
      <c r="W75" s="8"/>
    </row>
    <row r="76" spans="9:23" ht="20.100000000000001" customHeight="1" x14ac:dyDescent="0.35">
      <c r="I76" s="9"/>
      <c r="T76" s="8"/>
      <c r="U76" s="8"/>
      <c r="W76" s="8"/>
    </row>
    <row r="77" spans="9:23" ht="20.100000000000001" customHeight="1" x14ac:dyDescent="0.35">
      <c r="I77" s="9"/>
      <c r="T77" s="8"/>
      <c r="U77" s="8"/>
      <c r="W77" s="8"/>
    </row>
    <row r="78" spans="9:23" ht="20.100000000000001" customHeight="1" x14ac:dyDescent="0.35">
      <c r="I78" s="9"/>
      <c r="T78" s="8"/>
      <c r="U78" s="8"/>
      <c r="W78" s="8"/>
    </row>
    <row r="79" spans="9:23" ht="20.100000000000001" customHeight="1" x14ac:dyDescent="0.35">
      <c r="I79" s="9"/>
      <c r="T79" s="8"/>
      <c r="U79" s="8"/>
      <c r="W79" s="8"/>
    </row>
    <row r="80" spans="9:23" ht="20.100000000000001" customHeight="1" x14ac:dyDescent="0.35">
      <c r="I80" s="9"/>
      <c r="T80" s="8"/>
      <c r="U80" s="8"/>
      <c r="W80" s="8"/>
    </row>
    <row r="81" spans="9:23" ht="20.100000000000001" customHeight="1" x14ac:dyDescent="0.35">
      <c r="I81" s="9"/>
      <c r="T81" s="8"/>
      <c r="U81" s="8"/>
      <c r="W81" s="8"/>
    </row>
    <row r="82" spans="9:23" ht="20.100000000000001" customHeight="1" x14ac:dyDescent="0.35">
      <c r="I82" s="9"/>
      <c r="T82" s="8"/>
      <c r="U82" s="8"/>
      <c r="W82" s="8"/>
    </row>
    <row r="83" spans="9:23" ht="20.100000000000001" customHeight="1" x14ac:dyDescent="0.35">
      <c r="I83" s="9"/>
      <c r="T83" s="8"/>
      <c r="U83" s="8"/>
      <c r="W83" s="8"/>
    </row>
    <row r="84" spans="9:23" ht="20.100000000000001" customHeight="1" x14ac:dyDescent="0.35">
      <c r="I84" s="9"/>
      <c r="T84" s="8"/>
      <c r="U84" s="8"/>
      <c r="W84" s="8"/>
    </row>
    <row r="85" spans="9:23" ht="20.100000000000001" customHeight="1" x14ac:dyDescent="0.35">
      <c r="I85" s="9"/>
      <c r="T85" s="8"/>
      <c r="U85" s="8"/>
      <c r="W85" s="8"/>
    </row>
    <row r="86" spans="9:23" ht="20.100000000000001" customHeight="1" x14ac:dyDescent="0.35">
      <c r="I86" s="9"/>
      <c r="T86" s="8"/>
      <c r="U86" s="8"/>
      <c r="W86" s="8"/>
    </row>
    <row r="87" spans="9:23" ht="20.100000000000001" customHeight="1" x14ac:dyDescent="0.35">
      <c r="I87" s="9"/>
      <c r="T87" s="8"/>
      <c r="U87" s="8"/>
      <c r="W87" s="8"/>
    </row>
    <row r="88" spans="9:23" ht="20.100000000000001" customHeight="1" x14ac:dyDescent="0.35">
      <c r="I88" s="9"/>
      <c r="T88" s="8"/>
      <c r="U88" s="8"/>
      <c r="W88" s="8"/>
    </row>
    <row r="89" spans="9:23" ht="20.100000000000001" customHeight="1" x14ac:dyDescent="0.35">
      <c r="I89" s="9"/>
      <c r="T89" s="8"/>
      <c r="U89" s="8"/>
      <c r="W89" s="8"/>
    </row>
    <row r="90" spans="9:23" ht="20.100000000000001" customHeight="1" x14ac:dyDescent="0.35">
      <c r="I90" s="9"/>
      <c r="T90" s="8"/>
      <c r="U90" s="8"/>
      <c r="W90" s="8"/>
    </row>
    <row r="91" spans="9:23" ht="20.100000000000001" customHeight="1" x14ac:dyDescent="0.35">
      <c r="I91" s="9"/>
      <c r="T91" s="8"/>
      <c r="U91" s="8"/>
      <c r="W91" s="8"/>
    </row>
    <row r="92" spans="9:23" ht="20.100000000000001" customHeight="1" x14ac:dyDescent="0.35">
      <c r="I92" s="9"/>
      <c r="T92" s="8"/>
      <c r="U92" s="8"/>
      <c r="W92" s="8"/>
    </row>
    <row r="93" spans="9:23" ht="20.100000000000001" customHeight="1" x14ac:dyDescent="0.35">
      <c r="I93" s="9"/>
      <c r="T93" s="8"/>
      <c r="U93" s="8"/>
      <c r="W93" s="8"/>
    </row>
    <row r="94" spans="9:23" ht="20.100000000000001" customHeight="1" x14ac:dyDescent="0.35">
      <c r="I94" s="9"/>
      <c r="T94" s="8"/>
      <c r="U94" s="8"/>
      <c r="W94" s="8"/>
    </row>
    <row r="95" spans="9:23" ht="20.100000000000001" customHeight="1" x14ac:dyDescent="0.35">
      <c r="I95" s="9"/>
      <c r="T95" s="8"/>
      <c r="U95" s="8"/>
      <c r="W95" s="8"/>
    </row>
    <row r="96" spans="9:23" ht="20.100000000000001" customHeight="1" x14ac:dyDescent="0.35">
      <c r="I96" s="9"/>
      <c r="T96" s="8"/>
      <c r="U96" s="8"/>
      <c r="W96" s="8"/>
    </row>
    <row r="97" spans="9:23" ht="20.100000000000001" customHeight="1" x14ac:dyDescent="0.35">
      <c r="I97" s="9"/>
      <c r="T97" s="8"/>
      <c r="U97" s="8"/>
      <c r="W97" s="8"/>
    </row>
    <row r="98" spans="9:23" ht="20.100000000000001" customHeight="1" x14ac:dyDescent="0.35">
      <c r="I98" s="9"/>
      <c r="T98" s="8"/>
      <c r="U98" s="8"/>
      <c r="W98" s="8"/>
    </row>
    <row r="99" spans="9:23" ht="20.100000000000001" customHeight="1" x14ac:dyDescent="0.35">
      <c r="I99" s="9"/>
      <c r="T99" s="8"/>
      <c r="U99" s="8"/>
      <c r="W99" s="8"/>
    </row>
    <row r="100" spans="9:23" ht="20.100000000000001" customHeight="1" x14ac:dyDescent="0.35"/>
  </sheetData>
  <sheetProtection sheet="1" objects="1" scenarios="1"/>
  <sortState xmlns:xlrd2="http://schemas.microsoft.com/office/spreadsheetml/2017/richdata2" ref="A3:W3">
    <sortCondition ref="B3"/>
  </sortState>
  <mergeCells count="1">
    <mergeCell ref="A1:J1"/>
  </mergeCells>
  <printOptions horizontalCentered="1"/>
  <pageMargins left="0.47244094488188981" right="0.23622047244094491" top="0.74803149606299213" bottom="0.74803149606299213" header="0" footer="0"/>
  <pageSetup paperSize="9" orientation="landscape" horizontalDpi="4294967293" r:id="rId1"/>
  <headerFooter>
    <oddHeader>&amp;C&amp;"Arial Black"&amp;20Grand prix Oyeu-Burcin 2026</oddHeader>
    <oddFooter>&amp;C&amp;"Arial"&amp;G&amp;12AB =&gt; abandon        NC =&gt; non classé, arrivée en peloton        NP =&gt; non partant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20">
    <tabColor rgb="FF99CC00"/>
  </sheetPr>
  <dimension ref="A1:W100"/>
  <sheetViews>
    <sheetView showGridLines="0" showRowColHeaders="0" topLeftCell="B1" workbookViewId="0">
      <selection sqref="A1:J1"/>
    </sheetView>
  </sheetViews>
  <sheetFormatPr baseColWidth="10" defaultColWidth="11.59765625" defaultRowHeight="12.75" x14ac:dyDescent="0.35"/>
  <cols>
    <col min="1" max="1" width="9.265625" style="8" hidden="1" customWidth="1"/>
    <col min="2" max="2" width="11.73046875" style="8" customWidth="1"/>
    <col min="3" max="3" width="10.59765625" style="8" bestFit="1" customWidth="1"/>
    <col min="4" max="4" width="16" style="35" hidden="1" customWidth="1"/>
    <col min="5" max="5" width="13" style="8" bestFit="1" customWidth="1"/>
    <col min="6" max="6" width="8.3984375" style="8" customWidth="1"/>
    <col min="7" max="7" width="19.3984375" style="35" customWidth="1"/>
    <col min="8" max="8" width="18.1328125" style="35" customWidth="1"/>
    <col min="9" max="9" width="43.265625" style="8" customWidth="1"/>
    <col min="10" max="10" width="14.86328125" style="9" customWidth="1"/>
    <col min="11" max="16384" width="11.59765625" style="9"/>
  </cols>
  <sheetData>
    <row r="1" spans="1:23" s="29" customFormat="1" ht="35.1" customHeight="1" x14ac:dyDescent="0.35">
      <c r="A1" s="127" t="s">
        <v>394</v>
      </c>
      <c r="B1" s="127"/>
      <c r="C1" s="127"/>
      <c r="D1" s="127"/>
      <c r="E1" s="127"/>
      <c r="F1" s="127"/>
      <c r="G1" s="127"/>
      <c r="H1" s="127"/>
      <c r="I1" s="127"/>
      <c r="J1" s="127"/>
    </row>
    <row r="2" spans="1:23" s="34" customFormat="1" ht="24.95" customHeight="1" x14ac:dyDescent="0.35">
      <c r="B2" s="34" t="s">
        <v>152</v>
      </c>
      <c r="C2" s="34" t="s">
        <v>140</v>
      </c>
      <c r="D2" s="36" t="s">
        <v>141</v>
      </c>
      <c r="E2" s="34" t="s">
        <v>144</v>
      </c>
      <c r="F2" s="34" t="s">
        <v>162</v>
      </c>
      <c r="G2" s="34" t="s">
        <v>142</v>
      </c>
      <c r="H2" s="37" t="s">
        <v>192</v>
      </c>
      <c r="I2" s="37" t="s">
        <v>1</v>
      </c>
      <c r="J2" s="38" t="s">
        <v>165</v>
      </c>
      <c r="K2" s="29"/>
      <c r="L2" s="29"/>
      <c r="M2" s="29"/>
      <c r="N2" s="29"/>
      <c r="O2" s="29"/>
      <c r="P2" s="29"/>
      <c r="Q2" s="29"/>
      <c r="R2" s="29"/>
      <c r="S2" s="29"/>
      <c r="T2" s="28"/>
      <c r="U2" s="28"/>
      <c r="V2" s="29"/>
    </row>
    <row r="3" spans="1:23" ht="20.100000000000001" customHeight="1" x14ac:dyDescent="0.35">
      <c r="D3" s="113"/>
      <c r="I3" s="9"/>
      <c r="T3" s="8"/>
      <c r="U3" s="8"/>
      <c r="W3" s="8"/>
    </row>
    <row r="4" spans="1:23" ht="20.100000000000001" customHeight="1" x14ac:dyDescent="0.35">
      <c r="D4" s="113"/>
      <c r="I4" s="9"/>
      <c r="T4" s="8"/>
      <c r="U4" s="8"/>
      <c r="W4" s="8"/>
    </row>
    <row r="5" spans="1:23" ht="20.100000000000001" customHeight="1" x14ac:dyDescent="0.35">
      <c r="D5" s="113"/>
      <c r="I5" s="9"/>
      <c r="T5" s="8"/>
      <c r="U5" s="8"/>
      <c r="W5" s="8"/>
    </row>
    <row r="6" spans="1:23" ht="20.100000000000001" customHeight="1" x14ac:dyDescent="0.35">
      <c r="D6" s="113"/>
      <c r="I6" s="9"/>
      <c r="T6" s="8"/>
      <c r="U6" s="8"/>
      <c r="W6" s="8"/>
    </row>
    <row r="7" spans="1:23" ht="20.100000000000001" customHeight="1" x14ac:dyDescent="0.35">
      <c r="D7" s="113"/>
      <c r="I7" s="9"/>
      <c r="T7" s="8"/>
      <c r="U7" s="8"/>
      <c r="W7" s="8"/>
    </row>
    <row r="8" spans="1:23" ht="20.100000000000001" customHeight="1" x14ac:dyDescent="0.35">
      <c r="D8" s="113"/>
      <c r="I8" s="9"/>
      <c r="T8" s="8"/>
      <c r="U8" s="8"/>
      <c r="W8" s="8"/>
    </row>
    <row r="9" spans="1:23" ht="20.100000000000001" customHeight="1" x14ac:dyDescent="0.35">
      <c r="D9" s="113"/>
      <c r="I9" s="9"/>
      <c r="T9" s="8"/>
      <c r="U9" s="8"/>
      <c r="W9" s="8"/>
    </row>
    <row r="10" spans="1:23" ht="20.100000000000001" customHeight="1" x14ac:dyDescent="0.35">
      <c r="D10" s="113"/>
      <c r="I10" s="9"/>
      <c r="T10" s="8"/>
      <c r="U10" s="8"/>
      <c r="W10" s="8"/>
    </row>
    <row r="11" spans="1:23" ht="20.100000000000001" customHeight="1" x14ac:dyDescent="0.35">
      <c r="D11" s="113"/>
      <c r="I11" s="9"/>
      <c r="T11" s="8"/>
      <c r="U11" s="8"/>
      <c r="W11" s="8"/>
    </row>
    <row r="12" spans="1:23" ht="20.100000000000001" customHeight="1" x14ac:dyDescent="0.35">
      <c r="D12" s="113"/>
      <c r="I12" s="9"/>
      <c r="T12" s="8"/>
      <c r="U12" s="8"/>
      <c r="W12" s="8"/>
    </row>
    <row r="13" spans="1:23" ht="20.100000000000001" customHeight="1" x14ac:dyDescent="0.35">
      <c r="D13" s="113"/>
      <c r="I13" s="9"/>
      <c r="T13" s="8"/>
      <c r="U13" s="8"/>
      <c r="W13" s="8"/>
    </row>
    <row r="14" spans="1:23" ht="20.100000000000001" customHeight="1" x14ac:dyDescent="0.35">
      <c r="D14" s="113"/>
      <c r="I14" s="9"/>
      <c r="T14" s="8"/>
      <c r="U14" s="8"/>
      <c r="W14" s="8"/>
    </row>
    <row r="15" spans="1:23" ht="20.100000000000001" customHeight="1" x14ac:dyDescent="0.35">
      <c r="D15" s="113"/>
      <c r="I15" s="9"/>
      <c r="T15" s="8"/>
      <c r="U15" s="8"/>
      <c r="W15" s="8"/>
    </row>
    <row r="16" spans="1:23" ht="20.100000000000001" customHeight="1" x14ac:dyDescent="0.35">
      <c r="D16" s="113"/>
      <c r="I16" s="9"/>
      <c r="T16" s="8"/>
      <c r="U16" s="8"/>
      <c r="W16" s="8"/>
    </row>
    <row r="17" spans="4:23" ht="20.100000000000001" customHeight="1" x14ac:dyDescent="0.35">
      <c r="D17" s="113"/>
      <c r="I17" s="9"/>
      <c r="T17" s="8"/>
      <c r="U17" s="8"/>
      <c r="W17" s="8"/>
    </row>
    <row r="18" spans="4:23" ht="20.100000000000001" customHeight="1" x14ac:dyDescent="0.35">
      <c r="D18" s="113"/>
      <c r="I18" s="9"/>
      <c r="T18" s="8"/>
      <c r="U18" s="8"/>
      <c r="W18" s="8"/>
    </row>
    <row r="19" spans="4:23" ht="20.100000000000001" customHeight="1" x14ac:dyDescent="0.35">
      <c r="D19" s="113"/>
      <c r="I19" s="9"/>
      <c r="T19" s="8"/>
      <c r="U19" s="114"/>
      <c r="W19" s="8"/>
    </row>
    <row r="20" spans="4:23" ht="20.100000000000001" customHeight="1" x14ac:dyDescent="0.35">
      <c r="D20" s="113"/>
      <c r="I20" s="9"/>
      <c r="T20" s="8"/>
      <c r="U20" s="8"/>
      <c r="W20" s="8"/>
    </row>
    <row r="21" spans="4:23" ht="20.100000000000001" customHeight="1" x14ac:dyDescent="0.35">
      <c r="I21" s="9"/>
      <c r="T21" s="8"/>
      <c r="U21" s="8"/>
      <c r="W21" s="8"/>
    </row>
    <row r="22" spans="4:23" ht="20.100000000000001" customHeight="1" x14ac:dyDescent="0.35">
      <c r="I22" s="9"/>
      <c r="T22" s="8"/>
      <c r="U22" s="8"/>
      <c r="W22" s="8"/>
    </row>
    <row r="23" spans="4:23" ht="20.100000000000001" customHeight="1" x14ac:dyDescent="0.35">
      <c r="H23" s="115"/>
      <c r="I23" s="9"/>
      <c r="T23" s="8"/>
      <c r="U23" s="8"/>
      <c r="W23" s="8"/>
    </row>
    <row r="24" spans="4:23" ht="20.100000000000001" customHeight="1" x14ac:dyDescent="0.35">
      <c r="I24" s="9"/>
      <c r="T24" s="8"/>
      <c r="U24" s="8"/>
      <c r="W24" s="8"/>
    </row>
    <row r="25" spans="4:23" ht="20.100000000000001" customHeight="1" x14ac:dyDescent="0.35">
      <c r="I25" s="9"/>
      <c r="T25" s="8"/>
      <c r="U25" s="8"/>
      <c r="W25" s="8"/>
    </row>
    <row r="26" spans="4:23" ht="20.100000000000001" customHeight="1" x14ac:dyDescent="0.35">
      <c r="I26" s="9"/>
      <c r="T26" s="8"/>
      <c r="U26" s="8"/>
      <c r="W26" s="8"/>
    </row>
    <row r="27" spans="4:23" ht="20.100000000000001" customHeight="1" x14ac:dyDescent="0.35">
      <c r="I27" s="9"/>
      <c r="T27" s="8"/>
      <c r="U27" s="8"/>
      <c r="W27" s="8"/>
    </row>
    <row r="28" spans="4:23" ht="20.100000000000001" customHeight="1" x14ac:dyDescent="0.35">
      <c r="I28" s="9"/>
      <c r="T28" s="8"/>
      <c r="U28" s="8"/>
      <c r="W28" s="8"/>
    </row>
    <row r="29" spans="4:23" ht="20.100000000000001" customHeight="1" x14ac:dyDescent="0.35">
      <c r="I29" s="9"/>
      <c r="T29" s="8"/>
      <c r="U29" s="8"/>
      <c r="W29" s="8"/>
    </row>
    <row r="30" spans="4:23" ht="20.100000000000001" customHeight="1" x14ac:dyDescent="0.35">
      <c r="I30" s="9"/>
      <c r="T30" s="8"/>
      <c r="U30" s="8"/>
      <c r="W30" s="8"/>
    </row>
    <row r="31" spans="4:23" ht="20.100000000000001" customHeight="1" x14ac:dyDescent="0.35">
      <c r="I31" s="9"/>
      <c r="T31" s="8"/>
      <c r="U31" s="8"/>
      <c r="W31" s="8"/>
    </row>
    <row r="32" spans="4:23" ht="20.100000000000001" customHeight="1" x14ac:dyDescent="0.35">
      <c r="I32" s="9"/>
      <c r="T32" s="8"/>
      <c r="U32" s="8"/>
      <c r="W32" s="8"/>
    </row>
    <row r="33" spans="7:23" ht="20.100000000000001" customHeight="1" x14ac:dyDescent="0.35">
      <c r="G33" s="115"/>
      <c r="I33" s="9"/>
      <c r="T33" s="8"/>
      <c r="U33" s="8"/>
      <c r="V33" s="116"/>
      <c r="W33" s="8"/>
    </row>
    <row r="34" spans="7:23" ht="20.100000000000001" customHeight="1" x14ac:dyDescent="0.35">
      <c r="I34" s="9"/>
      <c r="T34" s="8"/>
      <c r="U34" s="8"/>
      <c r="W34" s="8"/>
    </row>
    <row r="35" spans="7:23" ht="20.100000000000001" customHeight="1" x14ac:dyDescent="0.35">
      <c r="I35" s="9"/>
      <c r="T35" s="8"/>
      <c r="U35" s="8"/>
      <c r="W35" s="8"/>
    </row>
    <row r="36" spans="7:23" ht="20.100000000000001" customHeight="1" x14ac:dyDescent="0.35">
      <c r="I36" s="9"/>
      <c r="T36" s="8"/>
      <c r="U36" s="8"/>
      <c r="W36" s="8"/>
    </row>
    <row r="37" spans="7:23" ht="20.100000000000001" customHeight="1" x14ac:dyDescent="0.35">
      <c r="I37" s="9"/>
      <c r="T37" s="8"/>
      <c r="U37" s="8"/>
      <c r="W37" s="8"/>
    </row>
    <row r="38" spans="7:23" ht="20.100000000000001" customHeight="1" x14ac:dyDescent="0.35">
      <c r="I38" s="9"/>
      <c r="T38" s="8"/>
      <c r="U38" s="8"/>
      <c r="W38" s="8"/>
    </row>
    <row r="39" spans="7:23" ht="20.100000000000001" customHeight="1" x14ac:dyDescent="0.35">
      <c r="I39" s="9"/>
      <c r="T39" s="8"/>
      <c r="U39" s="8"/>
      <c r="W39" s="8"/>
    </row>
    <row r="40" spans="7:23" ht="20.100000000000001" customHeight="1" x14ac:dyDescent="0.35">
      <c r="I40" s="9"/>
      <c r="T40" s="8"/>
      <c r="U40" s="8"/>
      <c r="W40" s="8"/>
    </row>
    <row r="41" spans="7:23" ht="20.100000000000001" customHeight="1" x14ac:dyDescent="0.35">
      <c r="I41" s="9"/>
      <c r="T41" s="8"/>
      <c r="U41" s="8"/>
      <c r="W41" s="8"/>
    </row>
    <row r="42" spans="7:23" ht="20.100000000000001" customHeight="1" x14ac:dyDescent="0.35">
      <c r="I42" s="9"/>
      <c r="T42" s="8"/>
      <c r="U42" s="8"/>
      <c r="W42" s="8"/>
    </row>
    <row r="43" spans="7:23" ht="20.100000000000001" customHeight="1" x14ac:dyDescent="0.35">
      <c r="I43" s="9"/>
      <c r="T43" s="8"/>
      <c r="U43" s="8"/>
      <c r="W43" s="8"/>
    </row>
    <row r="44" spans="7:23" ht="20.100000000000001" customHeight="1" x14ac:dyDescent="0.35">
      <c r="I44" s="9"/>
      <c r="T44" s="8"/>
      <c r="U44" s="8"/>
      <c r="W44" s="8"/>
    </row>
    <row r="45" spans="7:23" ht="20.100000000000001" customHeight="1" x14ac:dyDescent="0.35">
      <c r="I45" s="9"/>
      <c r="T45" s="8"/>
      <c r="U45" s="8"/>
      <c r="W45" s="8"/>
    </row>
    <row r="46" spans="7:23" ht="20.100000000000001" customHeight="1" x14ac:dyDescent="0.35">
      <c r="I46" s="9"/>
      <c r="T46" s="8"/>
      <c r="U46" s="8"/>
      <c r="W46" s="8"/>
    </row>
    <row r="47" spans="7:23" ht="20.100000000000001" customHeight="1" x14ac:dyDescent="0.35">
      <c r="I47" s="9"/>
      <c r="T47" s="8"/>
      <c r="U47" s="8"/>
      <c r="W47" s="8"/>
    </row>
    <row r="48" spans="7:23" ht="20.100000000000001" customHeight="1" x14ac:dyDescent="0.35">
      <c r="I48" s="9"/>
      <c r="T48" s="8"/>
      <c r="U48" s="8"/>
      <c r="W48" s="8"/>
    </row>
    <row r="49" spans="9:23" ht="20.100000000000001" customHeight="1" x14ac:dyDescent="0.35">
      <c r="I49" s="9"/>
      <c r="T49" s="8"/>
      <c r="U49" s="8"/>
      <c r="W49" s="8"/>
    </row>
    <row r="50" spans="9:23" ht="20.100000000000001" customHeight="1" x14ac:dyDescent="0.35">
      <c r="I50" s="9"/>
      <c r="T50" s="8"/>
      <c r="U50" s="8"/>
      <c r="W50" s="8"/>
    </row>
    <row r="51" spans="9:23" ht="20.100000000000001" customHeight="1" x14ac:dyDescent="0.35">
      <c r="I51" s="9"/>
      <c r="T51" s="8"/>
      <c r="U51" s="8"/>
      <c r="W51" s="8"/>
    </row>
    <row r="52" spans="9:23" ht="20.100000000000001" customHeight="1" x14ac:dyDescent="0.35">
      <c r="I52" s="9"/>
      <c r="T52" s="8"/>
      <c r="U52" s="8"/>
      <c r="W52" s="8"/>
    </row>
    <row r="53" spans="9:23" ht="20.100000000000001" customHeight="1" x14ac:dyDescent="0.35">
      <c r="I53" s="9"/>
      <c r="T53" s="8"/>
      <c r="U53" s="8"/>
      <c r="W53" s="8"/>
    </row>
    <row r="54" spans="9:23" ht="20.100000000000001" customHeight="1" x14ac:dyDescent="0.35">
      <c r="I54" s="9"/>
      <c r="T54" s="8"/>
      <c r="U54" s="8"/>
      <c r="W54" s="8"/>
    </row>
    <row r="55" spans="9:23" ht="20.100000000000001" customHeight="1" x14ac:dyDescent="0.35">
      <c r="I55" s="9"/>
      <c r="T55" s="8"/>
      <c r="U55" s="8"/>
      <c r="W55" s="8"/>
    </row>
    <row r="56" spans="9:23" ht="20.100000000000001" customHeight="1" x14ac:dyDescent="0.35">
      <c r="I56" s="9"/>
      <c r="T56" s="8"/>
      <c r="U56" s="8"/>
      <c r="W56" s="8"/>
    </row>
    <row r="57" spans="9:23" ht="20.100000000000001" customHeight="1" x14ac:dyDescent="0.35">
      <c r="I57" s="9"/>
      <c r="T57" s="8"/>
      <c r="U57" s="8"/>
      <c r="W57" s="8"/>
    </row>
    <row r="58" spans="9:23" ht="20.100000000000001" customHeight="1" x14ac:dyDescent="0.35">
      <c r="I58" s="9"/>
      <c r="T58" s="8"/>
      <c r="U58" s="8"/>
      <c r="W58" s="8"/>
    </row>
    <row r="59" spans="9:23" ht="20.100000000000001" customHeight="1" x14ac:dyDescent="0.35">
      <c r="I59" s="9"/>
      <c r="T59" s="8"/>
      <c r="U59" s="8"/>
      <c r="W59" s="8"/>
    </row>
    <row r="60" spans="9:23" ht="20.100000000000001" customHeight="1" x14ac:dyDescent="0.35">
      <c r="I60" s="9"/>
      <c r="T60" s="8"/>
      <c r="U60" s="8"/>
      <c r="W60" s="8"/>
    </row>
    <row r="61" spans="9:23" ht="20.100000000000001" customHeight="1" x14ac:dyDescent="0.35">
      <c r="I61" s="9"/>
      <c r="T61" s="8"/>
      <c r="U61" s="8"/>
      <c r="W61" s="8"/>
    </row>
    <row r="62" spans="9:23" ht="20.100000000000001" customHeight="1" x14ac:dyDescent="0.35">
      <c r="I62" s="9"/>
      <c r="T62" s="8"/>
      <c r="U62" s="8"/>
      <c r="W62" s="8"/>
    </row>
    <row r="63" spans="9:23" ht="20.100000000000001" customHeight="1" x14ac:dyDescent="0.35">
      <c r="I63" s="9"/>
      <c r="T63" s="8"/>
      <c r="U63" s="8"/>
      <c r="W63" s="8"/>
    </row>
    <row r="64" spans="9:23" ht="20.100000000000001" customHeight="1" x14ac:dyDescent="0.35">
      <c r="I64" s="9"/>
      <c r="T64" s="8"/>
      <c r="U64" s="8"/>
      <c r="W64" s="8"/>
    </row>
    <row r="65" spans="9:23" ht="20.100000000000001" customHeight="1" x14ac:dyDescent="0.35">
      <c r="I65" s="9"/>
      <c r="T65" s="8"/>
      <c r="U65" s="8"/>
      <c r="W65" s="8"/>
    </row>
    <row r="66" spans="9:23" ht="20.100000000000001" customHeight="1" x14ac:dyDescent="0.35">
      <c r="I66" s="9"/>
      <c r="T66" s="8"/>
      <c r="U66" s="8"/>
      <c r="W66" s="8"/>
    </row>
    <row r="67" spans="9:23" ht="20.100000000000001" customHeight="1" x14ac:dyDescent="0.35">
      <c r="I67" s="9"/>
      <c r="T67" s="8"/>
      <c r="U67" s="8"/>
      <c r="W67" s="8"/>
    </row>
    <row r="68" spans="9:23" ht="20.100000000000001" customHeight="1" x14ac:dyDescent="0.35">
      <c r="I68" s="9"/>
      <c r="T68" s="8"/>
      <c r="U68" s="8"/>
      <c r="W68" s="8"/>
    </row>
    <row r="69" spans="9:23" ht="20.100000000000001" customHeight="1" x14ac:dyDescent="0.35">
      <c r="I69" s="9"/>
      <c r="T69" s="8"/>
      <c r="U69" s="8"/>
      <c r="W69" s="8"/>
    </row>
    <row r="70" spans="9:23" ht="20.100000000000001" customHeight="1" x14ac:dyDescent="0.35">
      <c r="I70" s="9"/>
      <c r="T70" s="8"/>
      <c r="U70" s="8"/>
      <c r="W70" s="8"/>
    </row>
    <row r="71" spans="9:23" ht="20.100000000000001" customHeight="1" x14ac:dyDescent="0.35">
      <c r="I71" s="9"/>
      <c r="T71" s="8"/>
      <c r="U71" s="8"/>
      <c r="W71" s="8"/>
    </row>
    <row r="72" spans="9:23" ht="20.100000000000001" customHeight="1" x14ac:dyDescent="0.35">
      <c r="I72" s="9"/>
      <c r="T72" s="8"/>
      <c r="U72" s="8"/>
      <c r="W72" s="8"/>
    </row>
    <row r="73" spans="9:23" ht="20.100000000000001" customHeight="1" x14ac:dyDescent="0.35">
      <c r="I73" s="9"/>
      <c r="T73" s="8"/>
      <c r="U73" s="8"/>
      <c r="W73" s="8"/>
    </row>
    <row r="74" spans="9:23" ht="20.100000000000001" customHeight="1" x14ac:dyDescent="0.35">
      <c r="I74" s="9"/>
      <c r="T74" s="8"/>
      <c r="U74" s="8"/>
      <c r="W74" s="8"/>
    </row>
    <row r="75" spans="9:23" ht="20.100000000000001" customHeight="1" x14ac:dyDescent="0.35">
      <c r="I75" s="9"/>
      <c r="T75" s="8"/>
      <c r="U75" s="8"/>
      <c r="W75" s="8"/>
    </row>
    <row r="76" spans="9:23" ht="20.100000000000001" customHeight="1" x14ac:dyDescent="0.35">
      <c r="I76" s="9"/>
      <c r="T76" s="8"/>
      <c r="U76" s="8"/>
      <c r="W76" s="8"/>
    </row>
    <row r="77" spans="9:23" ht="20.100000000000001" customHeight="1" x14ac:dyDescent="0.35">
      <c r="I77" s="9"/>
      <c r="T77" s="8"/>
      <c r="U77" s="8"/>
      <c r="W77" s="8"/>
    </row>
    <row r="78" spans="9:23" ht="20.100000000000001" customHeight="1" x14ac:dyDescent="0.35">
      <c r="I78" s="9"/>
      <c r="T78" s="8"/>
      <c r="U78" s="8"/>
      <c r="W78" s="8"/>
    </row>
    <row r="79" spans="9:23" ht="20.100000000000001" customHeight="1" x14ac:dyDescent="0.35">
      <c r="I79" s="9"/>
      <c r="T79" s="8"/>
      <c r="U79" s="8"/>
      <c r="W79" s="8"/>
    </row>
    <row r="80" spans="9:23" ht="20.100000000000001" customHeight="1" x14ac:dyDescent="0.35">
      <c r="I80" s="9"/>
      <c r="T80" s="8"/>
      <c r="U80" s="8"/>
      <c r="W80" s="8"/>
    </row>
    <row r="81" spans="9:23" ht="20.100000000000001" customHeight="1" x14ac:dyDescent="0.35">
      <c r="I81" s="9"/>
      <c r="T81" s="8"/>
      <c r="U81" s="8"/>
      <c r="W81" s="8"/>
    </row>
    <row r="82" spans="9:23" ht="20.100000000000001" customHeight="1" x14ac:dyDescent="0.35">
      <c r="I82" s="9"/>
      <c r="T82" s="8"/>
      <c r="U82" s="8"/>
      <c r="W82" s="8"/>
    </row>
    <row r="83" spans="9:23" ht="20.100000000000001" customHeight="1" x14ac:dyDescent="0.35">
      <c r="I83" s="9"/>
      <c r="T83" s="8"/>
      <c r="U83" s="8"/>
      <c r="W83" s="8"/>
    </row>
    <row r="84" spans="9:23" ht="20.100000000000001" customHeight="1" x14ac:dyDescent="0.35">
      <c r="I84" s="9"/>
      <c r="T84" s="8"/>
      <c r="U84" s="8"/>
      <c r="W84" s="8"/>
    </row>
    <row r="85" spans="9:23" ht="20.100000000000001" customHeight="1" x14ac:dyDescent="0.35">
      <c r="I85" s="9"/>
      <c r="T85" s="8"/>
      <c r="U85" s="8"/>
      <c r="W85" s="8"/>
    </row>
    <row r="86" spans="9:23" ht="20.100000000000001" customHeight="1" x14ac:dyDescent="0.35">
      <c r="I86" s="9"/>
      <c r="T86" s="8"/>
      <c r="U86" s="8"/>
      <c r="W86" s="8"/>
    </row>
    <row r="87" spans="9:23" ht="20.100000000000001" customHeight="1" x14ac:dyDescent="0.35">
      <c r="I87" s="9"/>
      <c r="T87" s="8"/>
      <c r="U87" s="8"/>
      <c r="W87" s="8"/>
    </row>
    <row r="88" spans="9:23" ht="20.100000000000001" customHeight="1" x14ac:dyDescent="0.35">
      <c r="I88" s="9"/>
      <c r="T88" s="8"/>
      <c r="U88" s="8"/>
      <c r="W88" s="8"/>
    </row>
    <row r="89" spans="9:23" ht="20.100000000000001" customHeight="1" x14ac:dyDescent="0.35">
      <c r="I89" s="9"/>
      <c r="T89" s="8"/>
      <c r="U89" s="8"/>
      <c r="W89" s="8"/>
    </row>
    <row r="90" spans="9:23" ht="20.100000000000001" customHeight="1" x14ac:dyDescent="0.35">
      <c r="I90" s="9"/>
      <c r="T90" s="8"/>
      <c r="U90" s="8"/>
      <c r="W90" s="8"/>
    </row>
    <row r="91" spans="9:23" ht="20.100000000000001" customHeight="1" x14ac:dyDescent="0.35">
      <c r="I91" s="9"/>
      <c r="T91" s="8"/>
      <c r="U91" s="8"/>
      <c r="W91" s="8"/>
    </row>
    <row r="92" spans="9:23" ht="20.100000000000001" customHeight="1" x14ac:dyDescent="0.35">
      <c r="I92" s="9"/>
      <c r="T92" s="8"/>
      <c r="U92" s="8"/>
      <c r="W92" s="8"/>
    </row>
    <row r="93" spans="9:23" ht="20.100000000000001" customHeight="1" x14ac:dyDescent="0.35">
      <c r="I93" s="9"/>
      <c r="T93" s="8"/>
      <c r="U93" s="8"/>
      <c r="W93" s="8"/>
    </row>
    <row r="94" spans="9:23" ht="20.100000000000001" customHeight="1" x14ac:dyDescent="0.35">
      <c r="I94" s="9"/>
      <c r="T94" s="8"/>
      <c r="U94" s="8"/>
      <c r="W94" s="8"/>
    </row>
    <row r="95" spans="9:23" ht="20.100000000000001" customHeight="1" x14ac:dyDescent="0.35">
      <c r="I95" s="9"/>
      <c r="T95" s="8"/>
      <c r="U95" s="8"/>
      <c r="W95" s="8"/>
    </row>
    <row r="96" spans="9:23" ht="20.100000000000001" customHeight="1" x14ac:dyDescent="0.35">
      <c r="I96" s="9"/>
      <c r="T96" s="8"/>
      <c r="U96" s="8"/>
      <c r="W96" s="8"/>
    </row>
    <row r="97" spans="9:23" ht="20.100000000000001" customHeight="1" x14ac:dyDescent="0.35">
      <c r="I97" s="9"/>
      <c r="T97" s="8"/>
      <c r="U97" s="8"/>
      <c r="W97" s="8"/>
    </row>
    <row r="98" spans="9:23" ht="20.100000000000001" customHeight="1" x14ac:dyDescent="0.35">
      <c r="I98" s="9"/>
      <c r="T98" s="8"/>
      <c r="U98" s="8"/>
      <c r="W98" s="8"/>
    </row>
    <row r="99" spans="9:23" ht="20.100000000000001" customHeight="1" x14ac:dyDescent="0.35">
      <c r="I99" s="9"/>
      <c r="T99" s="8"/>
      <c r="U99" s="8"/>
      <c r="W99" s="8"/>
    </row>
    <row r="100" spans="9:23" ht="20.100000000000001" customHeight="1" x14ac:dyDescent="0.35"/>
  </sheetData>
  <sheetProtection sheet="1" objects="1" scenarios="1"/>
  <sortState xmlns:xlrd2="http://schemas.microsoft.com/office/spreadsheetml/2017/richdata2" ref="A3:W5">
    <sortCondition ref="B3"/>
  </sortState>
  <mergeCells count="1">
    <mergeCell ref="A1:J1"/>
  </mergeCells>
  <printOptions horizontalCentered="1"/>
  <pageMargins left="0.47244094488188981" right="0.23622047244094491" top="0.74803149606299213" bottom="0.74803149606299213" header="0" footer="0"/>
  <pageSetup paperSize="9" orientation="landscape" horizontalDpi="4294967293" r:id="rId1"/>
  <headerFooter>
    <oddHeader>&amp;C&amp;"Arial Black"&amp;20Grand prix Oyeu-Burcin 2026</oddHeader>
    <oddFooter>&amp;C&amp;"Arial"&amp;G&amp;12AB =&gt; abandon        NC =&gt; non classé, arrivée en peloton        NP =&gt; non partant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5">
    <tabColor theme="1"/>
  </sheetPr>
  <dimension ref="A1:L476"/>
  <sheetViews>
    <sheetView workbookViewId="0">
      <selection activeCell="I1" sqref="I1:K1"/>
    </sheetView>
  </sheetViews>
  <sheetFormatPr baseColWidth="10" defaultRowHeight="12.75" x14ac:dyDescent="0.35"/>
  <cols>
    <col min="1" max="1" width="4.86328125" style="93" customWidth="1"/>
    <col min="2" max="3" width="29.86328125" style="65" bestFit="1" customWidth="1"/>
    <col min="4" max="4" width="5" style="87" customWidth="1"/>
    <col min="5" max="5" width="45.73046875" style="65" bestFit="1" customWidth="1"/>
    <col min="6" max="6" width="11" style="93" customWidth="1"/>
    <col min="7" max="7" width="27" style="65" bestFit="1" customWidth="1"/>
    <col min="8" max="8" width="12" style="79" bestFit="1" customWidth="1"/>
    <col min="9" max="9" width="9" style="87" customWidth="1"/>
    <col min="10" max="10" width="5.265625" style="65" customWidth="1"/>
    <col min="11" max="11" width="14.265625" style="65" bestFit="1" customWidth="1"/>
    <col min="12" max="257" width="11.3984375" style="65"/>
    <col min="258" max="258" width="4.86328125" style="65" customWidth="1"/>
    <col min="259" max="259" width="29.86328125" style="65" bestFit="1" customWidth="1"/>
    <col min="260" max="260" width="5" style="65" customWidth="1"/>
    <col min="261" max="261" width="45.73046875" style="65" bestFit="1" customWidth="1"/>
    <col min="262" max="262" width="11" style="65" customWidth="1"/>
    <col min="263" max="263" width="27" style="65" bestFit="1" customWidth="1"/>
    <col min="264" max="264" width="12" style="65" bestFit="1" customWidth="1"/>
    <col min="265" max="265" width="9" style="65" customWidth="1"/>
    <col min="266" max="266" width="5.265625" style="65" customWidth="1"/>
    <col min="267" max="267" width="14.265625" style="65" bestFit="1" customWidth="1"/>
    <col min="268" max="513" width="11.3984375" style="65"/>
    <col min="514" max="514" width="4.86328125" style="65" customWidth="1"/>
    <col min="515" max="515" width="29.86328125" style="65" bestFit="1" customWidth="1"/>
    <col min="516" max="516" width="5" style="65" customWidth="1"/>
    <col min="517" max="517" width="45.73046875" style="65" bestFit="1" customWidth="1"/>
    <col min="518" max="518" width="11" style="65" customWidth="1"/>
    <col min="519" max="519" width="27" style="65" bestFit="1" customWidth="1"/>
    <col min="520" max="520" width="12" style="65" bestFit="1" customWidth="1"/>
    <col min="521" max="521" width="9" style="65" customWidth="1"/>
    <col min="522" max="522" width="5.265625" style="65" customWidth="1"/>
    <col min="523" max="523" width="14.265625" style="65" bestFit="1" customWidth="1"/>
    <col min="524" max="769" width="11.3984375" style="65"/>
    <col min="770" max="770" width="4.86328125" style="65" customWidth="1"/>
    <col min="771" max="771" width="29.86328125" style="65" bestFit="1" customWidth="1"/>
    <col min="772" max="772" width="5" style="65" customWidth="1"/>
    <col min="773" max="773" width="45.73046875" style="65" bestFit="1" customWidth="1"/>
    <col min="774" max="774" width="11" style="65" customWidth="1"/>
    <col min="775" max="775" width="27" style="65" bestFit="1" customWidth="1"/>
    <col min="776" max="776" width="12" style="65" bestFit="1" customWidth="1"/>
    <col min="777" max="777" width="9" style="65" customWidth="1"/>
    <col min="778" max="778" width="5.265625" style="65" customWidth="1"/>
    <col min="779" max="779" width="14.265625" style="65" bestFit="1" customWidth="1"/>
    <col min="780" max="1025" width="11.3984375" style="65"/>
    <col min="1026" max="1026" width="4.86328125" style="65" customWidth="1"/>
    <col min="1027" max="1027" width="29.86328125" style="65" bestFit="1" customWidth="1"/>
    <col min="1028" max="1028" width="5" style="65" customWidth="1"/>
    <col min="1029" max="1029" width="45.73046875" style="65" bestFit="1" customWidth="1"/>
    <col min="1030" max="1030" width="11" style="65" customWidth="1"/>
    <col min="1031" max="1031" width="27" style="65" bestFit="1" customWidth="1"/>
    <col min="1032" max="1032" width="12" style="65" bestFit="1" customWidth="1"/>
    <col min="1033" max="1033" width="9" style="65" customWidth="1"/>
    <col min="1034" max="1034" width="5.265625" style="65" customWidth="1"/>
    <col min="1035" max="1035" width="14.265625" style="65" bestFit="1" customWidth="1"/>
    <col min="1036" max="1281" width="11.3984375" style="65"/>
    <col min="1282" max="1282" width="4.86328125" style="65" customWidth="1"/>
    <col min="1283" max="1283" width="29.86328125" style="65" bestFit="1" customWidth="1"/>
    <col min="1284" max="1284" width="5" style="65" customWidth="1"/>
    <col min="1285" max="1285" width="45.73046875" style="65" bestFit="1" customWidth="1"/>
    <col min="1286" max="1286" width="11" style="65" customWidth="1"/>
    <col min="1287" max="1287" width="27" style="65" bestFit="1" customWidth="1"/>
    <col min="1288" max="1288" width="12" style="65" bestFit="1" customWidth="1"/>
    <col min="1289" max="1289" width="9" style="65" customWidth="1"/>
    <col min="1290" max="1290" width="5.265625" style="65" customWidth="1"/>
    <col min="1291" max="1291" width="14.265625" style="65" bestFit="1" customWidth="1"/>
    <col min="1292" max="1537" width="11.3984375" style="65"/>
    <col min="1538" max="1538" width="4.86328125" style="65" customWidth="1"/>
    <col min="1539" max="1539" width="29.86328125" style="65" bestFit="1" customWidth="1"/>
    <col min="1540" max="1540" width="5" style="65" customWidth="1"/>
    <col min="1541" max="1541" width="45.73046875" style="65" bestFit="1" customWidth="1"/>
    <col min="1542" max="1542" width="11" style="65" customWidth="1"/>
    <col min="1543" max="1543" width="27" style="65" bestFit="1" customWidth="1"/>
    <col min="1544" max="1544" width="12" style="65" bestFit="1" customWidth="1"/>
    <col min="1545" max="1545" width="9" style="65" customWidth="1"/>
    <col min="1546" max="1546" width="5.265625" style="65" customWidth="1"/>
    <col min="1547" max="1547" width="14.265625" style="65" bestFit="1" customWidth="1"/>
    <col min="1548" max="1793" width="11.3984375" style="65"/>
    <col min="1794" max="1794" width="4.86328125" style="65" customWidth="1"/>
    <col min="1795" max="1795" width="29.86328125" style="65" bestFit="1" customWidth="1"/>
    <col min="1796" max="1796" width="5" style="65" customWidth="1"/>
    <col min="1797" max="1797" width="45.73046875" style="65" bestFit="1" customWidth="1"/>
    <col min="1798" max="1798" width="11" style="65" customWidth="1"/>
    <col min="1799" max="1799" width="27" style="65" bestFit="1" customWidth="1"/>
    <col min="1800" max="1800" width="12" style="65" bestFit="1" customWidth="1"/>
    <col min="1801" max="1801" width="9" style="65" customWidth="1"/>
    <col min="1802" max="1802" width="5.265625" style="65" customWidth="1"/>
    <col min="1803" max="1803" width="14.265625" style="65" bestFit="1" customWidth="1"/>
    <col min="1804" max="2049" width="11.3984375" style="65"/>
    <col min="2050" max="2050" width="4.86328125" style="65" customWidth="1"/>
    <col min="2051" max="2051" width="29.86328125" style="65" bestFit="1" customWidth="1"/>
    <col min="2052" max="2052" width="5" style="65" customWidth="1"/>
    <col min="2053" max="2053" width="45.73046875" style="65" bestFit="1" customWidth="1"/>
    <col min="2054" max="2054" width="11" style="65" customWidth="1"/>
    <col min="2055" max="2055" width="27" style="65" bestFit="1" customWidth="1"/>
    <col min="2056" max="2056" width="12" style="65" bestFit="1" customWidth="1"/>
    <col min="2057" max="2057" width="9" style="65" customWidth="1"/>
    <col min="2058" max="2058" width="5.265625" style="65" customWidth="1"/>
    <col min="2059" max="2059" width="14.265625" style="65" bestFit="1" customWidth="1"/>
    <col min="2060" max="2305" width="11.3984375" style="65"/>
    <col min="2306" max="2306" width="4.86328125" style="65" customWidth="1"/>
    <col min="2307" max="2307" width="29.86328125" style="65" bestFit="1" customWidth="1"/>
    <col min="2308" max="2308" width="5" style="65" customWidth="1"/>
    <col min="2309" max="2309" width="45.73046875" style="65" bestFit="1" customWidth="1"/>
    <col min="2310" max="2310" width="11" style="65" customWidth="1"/>
    <col min="2311" max="2311" width="27" style="65" bestFit="1" customWidth="1"/>
    <col min="2312" max="2312" width="12" style="65" bestFit="1" customWidth="1"/>
    <col min="2313" max="2313" width="9" style="65" customWidth="1"/>
    <col min="2314" max="2314" width="5.265625" style="65" customWidth="1"/>
    <col min="2315" max="2315" width="14.265625" style="65" bestFit="1" customWidth="1"/>
    <col min="2316" max="2561" width="11.3984375" style="65"/>
    <col min="2562" max="2562" width="4.86328125" style="65" customWidth="1"/>
    <col min="2563" max="2563" width="29.86328125" style="65" bestFit="1" customWidth="1"/>
    <col min="2564" max="2564" width="5" style="65" customWidth="1"/>
    <col min="2565" max="2565" width="45.73046875" style="65" bestFit="1" customWidth="1"/>
    <col min="2566" max="2566" width="11" style="65" customWidth="1"/>
    <col min="2567" max="2567" width="27" style="65" bestFit="1" customWidth="1"/>
    <col min="2568" max="2568" width="12" style="65" bestFit="1" customWidth="1"/>
    <col min="2569" max="2569" width="9" style="65" customWidth="1"/>
    <col min="2570" max="2570" width="5.265625" style="65" customWidth="1"/>
    <col min="2571" max="2571" width="14.265625" style="65" bestFit="1" customWidth="1"/>
    <col min="2572" max="2817" width="11.3984375" style="65"/>
    <col min="2818" max="2818" width="4.86328125" style="65" customWidth="1"/>
    <col min="2819" max="2819" width="29.86328125" style="65" bestFit="1" customWidth="1"/>
    <col min="2820" max="2820" width="5" style="65" customWidth="1"/>
    <col min="2821" max="2821" width="45.73046875" style="65" bestFit="1" customWidth="1"/>
    <col min="2822" max="2822" width="11" style="65" customWidth="1"/>
    <col min="2823" max="2823" width="27" style="65" bestFit="1" customWidth="1"/>
    <col min="2824" max="2824" width="12" style="65" bestFit="1" customWidth="1"/>
    <col min="2825" max="2825" width="9" style="65" customWidth="1"/>
    <col min="2826" max="2826" width="5.265625" style="65" customWidth="1"/>
    <col min="2827" max="2827" width="14.265625" style="65" bestFit="1" customWidth="1"/>
    <col min="2828" max="3073" width="11.3984375" style="65"/>
    <col min="3074" max="3074" width="4.86328125" style="65" customWidth="1"/>
    <col min="3075" max="3075" width="29.86328125" style="65" bestFit="1" customWidth="1"/>
    <col min="3076" max="3076" width="5" style="65" customWidth="1"/>
    <col min="3077" max="3077" width="45.73046875" style="65" bestFit="1" customWidth="1"/>
    <col min="3078" max="3078" width="11" style="65" customWidth="1"/>
    <col min="3079" max="3079" width="27" style="65" bestFit="1" customWidth="1"/>
    <col min="3080" max="3080" width="12" style="65" bestFit="1" customWidth="1"/>
    <col min="3081" max="3081" width="9" style="65" customWidth="1"/>
    <col min="3082" max="3082" width="5.265625" style="65" customWidth="1"/>
    <col min="3083" max="3083" width="14.265625" style="65" bestFit="1" customWidth="1"/>
    <col min="3084" max="3329" width="11.3984375" style="65"/>
    <col min="3330" max="3330" width="4.86328125" style="65" customWidth="1"/>
    <col min="3331" max="3331" width="29.86328125" style="65" bestFit="1" customWidth="1"/>
    <col min="3332" max="3332" width="5" style="65" customWidth="1"/>
    <col min="3333" max="3333" width="45.73046875" style="65" bestFit="1" customWidth="1"/>
    <col min="3334" max="3334" width="11" style="65" customWidth="1"/>
    <col min="3335" max="3335" width="27" style="65" bestFit="1" customWidth="1"/>
    <col min="3336" max="3336" width="12" style="65" bestFit="1" customWidth="1"/>
    <col min="3337" max="3337" width="9" style="65" customWidth="1"/>
    <col min="3338" max="3338" width="5.265625" style="65" customWidth="1"/>
    <col min="3339" max="3339" width="14.265625" style="65" bestFit="1" customWidth="1"/>
    <col min="3340" max="3585" width="11.3984375" style="65"/>
    <col min="3586" max="3586" width="4.86328125" style="65" customWidth="1"/>
    <col min="3587" max="3587" width="29.86328125" style="65" bestFit="1" customWidth="1"/>
    <col min="3588" max="3588" width="5" style="65" customWidth="1"/>
    <col min="3589" max="3589" width="45.73046875" style="65" bestFit="1" customWidth="1"/>
    <col min="3590" max="3590" width="11" style="65" customWidth="1"/>
    <col min="3591" max="3591" width="27" style="65" bestFit="1" customWidth="1"/>
    <col min="3592" max="3592" width="12" style="65" bestFit="1" customWidth="1"/>
    <col min="3593" max="3593" width="9" style="65" customWidth="1"/>
    <col min="3594" max="3594" width="5.265625" style="65" customWidth="1"/>
    <col min="3595" max="3595" width="14.265625" style="65" bestFit="1" customWidth="1"/>
    <col min="3596" max="3841" width="11.3984375" style="65"/>
    <col min="3842" max="3842" width="4.86328125" style="65" customWidth="1"/>
    <col min="3843" max="3843" width="29.86328125" style="65" bestFit="1" customWidth="1"/>
    <col min="3844" max="3844" width="5" style="65" customWidth="1"/>
    <col min="3845" max="3845" width="45.73046875" style="65" bestFit="1" customWidth="1"/>
    <col min="3846" max="3846" width="11" style="65" customWidth="1"/>
    <col min="3847" max="3847" width="27" style="65" bestFit="1" customWidth="1"/>
    <col min="3848" max="3848" width="12" style="65" bestFit="1" customWidth="1"/>
    <col min="3849" max="3849" width="9" style="65" customWidth="1"/>
    <col min="3850" max="3850" width="5.265625" style="65" customWidth="1"/>
    <col min="3851" max="3851" width="14.265625" style="65" bestFit="1" customWidth="1"/>
    <col min="3852" max="4097" width="11.3984375" style="65"/>
    <col min="4098" max="4098" width="4.86328125" style="65" customWidth="1"/>
    <col min="4099" max="4099" width="29.86328125" style="65" bestFit="1" customWidth="1"/>
    <col min="4100" max="4100" width="5" style="65" customWidth="1"/>
    <col min="4101" max="4101" width="45.73046875" style="65" bestFit="1" customWidth="1"/>
    <col min="4102" max="4102" width="11" style="65" customWidth="1"/>
    <col min="4103" max="4103" width="27" style="65" bestFit="1" customWidth="1"/>
    <col min="4104" max="4104" width="12" style="65" bestFit="1" customWidth="1"/>
    <col min="4105" max="4105" width="9" style="65" customWidth="1"/>
    <col min="4106" max="4106" width="5.265625" style="65" customWidth="1"/>
    <col min="4107" max="4107" width="14.265625" style="65" bestFit="1" customWidth="1"/>
    <col min="4108" max="4353" width="11.3984375" style="65"/>
    <col min="4354" max="4354" width="4.86328125" style="65" customWidth="1"/>
    <col min="4355" max="4355" width="29.86328125" style="65" bestFit="1" customWidth="1"/>
    <col min="4356" max="4356" width="5" style="65" customWidth="1"/>
    <col min="4357" max="4357" width="45.73046875" style="65" bestFit="1" customWidth="1"/>
    <col min="4358" max="4358" width="11" style="65" customWidth="1"/>
    <col min="4359" max="4359" width="27" style="65" bestFit="1" customWidth="1"/>
    <col min="4360" max="4360" width="12" style="65" bestFit="1" customWidth="1"/>
    <col min="4361" max="4361" width="9" style="65" customWidth="1"/>
    <col min="4362" max="4362" width="5.265625" style="65" customWidth="1"/>
    <col min="4363" max="4363" width="14.265625" style="65" bestFit="1" customWidth="1"/>
    <col min="4364" max="4609" width="11.3984375" style="65"/>
    <col min="4610" max="4610" width="4.86328125" style="65" customWidth="1"/>
    <col min="4611" max="4611" width="29.86328125" style="65" bestFit="1" customWidth="1"/>
    <col min="4612" max="4612" width="5" style="65" customWidth="1"/>
    <col min="4613" max="4613" width="45.73046875" style="65" bestFit="1" customWidth="1"/>
    <col min="4614" max="4614" width="11" style="65" customWidth="1"/>
    <col min="4615" max="4615" width="27" style="65" bestFit="1" customWidth="1"/>
    <col min="4616" max="4616" width="12" style="65" bestFit="1" customWidth="1"/>
    <col min="4617" max="4617" width="9" style="65" customWidth="1"/>
    <col min="4618" max="4618" width="5.265625" style="65" customWidth="1"/>
    <col min="4619" max="4619" width="14.265625" style="65" bestFit="1" customWidth="1"/>
    <col min="4620" max="4865" width="11.3984375" style="65"/>
    <col min="4866" max="4866" width="4.86328125" style="65" customWidth="1"/>
    <col min="4867" max="4867" width="29.86328125" style="65" bestFit="1" customWidth="1"/>
    <col min="4868" max="4868" width="5" style="65" customWidth="1"/>
    <col min="4869" max="4869" width="45.73046875" style="65" bestFit="1" customWidth="1"/>
    <col min="4870" max="4870" width="11" style="65" customWidth="1"/>
    <col min="4871" max="4871" width="27" style="65" bestFit="1" customWidth="1"/>
    <col min="4872" max="4872" width="12" style="65" bestFit="1" customWidth="1"/>
    <col min="4873" max="4873" width="9" style="65" customWidth="1"/>
    <col min="4874" max="4874" width="5.265625" style="65" customWidth="1"/>
    <col min="4875" max="4875" width="14.265625" style="65" bestFit="1" customWidth="1"/>
    <col min="4876" max="5121" width="11.3984375" style="65"/>
    <col min="5122" max="5122" width="4.86328125" style="65" customWidth="1"/>
    <col min="5123" max="5123" width="29.86328125" style="65" bestFit="1" customWidth="1"/>
    <col min="5124" max="5124" width="5" style="65" customWidth="1"/>
    <col min="5125" max="5125" width="45.73046875" style="65" bestFit="1" customWidth="1"/>
    <col min="5126" max="5126" width="11" style="65" customWidth="1"/>
    <col min="5127" max="5127" width="27" style="65" bestFit="1" customWidth="1"/>
    <col min="5128" max="5128" width="12" style="65" bestFit="1" customWidth="1"/>
    <col min="5129" max="5129" width="9" style="65" customWidth="1"/>
    <col min="5130" max="5130" width="5.265625" style="65" customWidth="1"/>
    <col min="5131" max="5131" width="14.265625" style="65" bestFit="1" customWidth="1"/>
    <col min="5132" max="5377" width="11.3984375" style="65"/>
    <col min="5378" max="5378" width="4.86328125" style="65" customWidth="1"/>
    <col min="5379" max="5379" width="29.86328125" style="65" bestFit="1" customWidth="1"/>
    <col min="5380" max="5380" width="5" style="65" customWidth="1"/>
    <col min="5381" max="5381" width="45.73046875" style="65" bestFit="1" customWidth="1"/>
    <col min="5382" max="5382" width="11" style="65" customWidth="1"/>
    <col min="5383" max="5383" width="27" style="65" bestFit="1" customWidth="1"/>
    <col min="5384" max="5384" width="12" style="65" bestFit="1" customWidth="1"/>
    <col min="5385" max="5385" width="9" style="65" customWidth="1"/>
    <col min="5386" max="5386" width="5.265625" style="65" customWidth="1"/>
    <col min="5387" max="5387" width="14.265625" style="65" bestFit="1" customWidth="1"/>
    <col min="5388" max="5633" width="11.3984375" style="65"/>
    <col min="5634" max="5634" width="4.86328125" style="65" customWidth="1"/>
    <col min="5635" max="5635" width="29.86328125" style="65" bestFit="1" customWidth="1"/>
    <col min="5636" max="5636" width="5" style="65" customWidth="1"/>
    <col min="5637" max="5637" width="45.73046875" style="65" bestFit="1" customWidth="1"/>
    <col min="5638" max="5638" width="11" style="65" customWidth="1"/>
    <col min="5639" max="5639" width="27" style="65" bestFit="1" customWidth="1"/>
    <col min="5640" max="5640" width="12" style="65" bestFit="1" customWidth="1"/>
    <col min="5641" max="5641" width="9" style="65" customWidth="1"/>
    <col min="5642" max="5642" width="5.265625" style="65" customWidth="1"/>
    <col min="5643" max="5643" width="14.265625" style="65" bestFit="1" customWidth="1"/>
    <col min="5644" max="5889" width="11.3984375" style="65"/>
    <col min="5890" max="5890" width="4.86328125" style="65" customWidth="1"/>
    <col min="5891" max="5891" width="29.86328125" style="65" bestFit="1" customWidth="1"/>
    <col min="5892" max="5892" width="5" style="65" customWidth="1"/>
    <col min="5893" max="5893" width="45.73046875" style="65" bestFit="1" customWidth="1"/>
    <col min="5894" max="5894" width="11" style="65" customWidth="1"/>
    <col min="5895" max="5895" width="27" style="65" bestFit="1" customWidth="1"/>
    <col min="5896" max="5896" width="12" style="65" bestFit="1" customWidth="1"/>
    <col min="5897" max="5897" width="9" style="65" customWidth="1"/>
    <col min="5898" max="5898" width="5.265625" style="65" customWidth="1"/>
    <col min="5899" max="5899" width="14.265625" style="65" bestFit="1" customWidth="1"/>
    <col min="5900" max="6145" width="11.3984375" style="65"/>
    <col min="6146" max="6146" width="4.86328125" style="65" customWidth="1"/>
    <col min="6147" max="6147" width="29.86328125" style="65" bestFit="1" customWidth="1"/>
    <col min="6148" max="6148" width="5" style="65" customWidth="1"/>
    <col min="6149" max="6149" width="45.73046875" style="65" bestFit="1" customWidth="1"/>
    <col min="6150" max="6150" width="11" style="65" customWidth="1"/>
    <col min="6151" max="6151" width="27" style="65" bestFit="1" customWidth="1"/>
    <col min="6152" max="6152" width="12" style="65" bestFit="1" customWidth="1"/>
    <col min="6153" max="6153" width="9" style="65" customWidth="1"/>
    <col min="6154" max="6154" width="5.265625" style="65" customWidth="1"/>
    <col min="6155" max="6155" width="14.265625" style="65" bestFit="1" customWidth="1"/>
    <col min="6156" max="6401" width="11.3984375" style="65"/>
    <col min="6402" max="6402" width="4.86328125" style="65" customWidth="1"/>
    <col min="6403" max="6403" width="29.86328125" style="65" bestFit="1" customWidth="1"/>
    <col min="6404" max="6404" width="5" style="65" customWidth="1"/>
    <col min="6405" max="6405" width="45.73046875" style="65" bestFit="1" customWidth="1"/>
    <col min="6406" max="6406" width="11" style="65" customWidth="1"/>
    <col min="6407" max="6407" width="27" style="65" bestFit="1" customWidth="1"/>
    <col min="6408" max="6408" width="12" style="65" bestFit="1" customWidth="1"/>
    <col min="6409" max="6409" width="9" style="65" customWidth="1"/>
    <col min="6410" max="6410" width="5.265625" style="65" customWidth="1"/>
    <col min="6411" max="6411" width="14.265625" style="65" bestFit="1" customWidth="1"/>
    <col min="6412" max="6657" width="11.3984375" style="65"/>
    <col min="6658" max="6658" width="4.86328125" style="65" customWidth="1"/>
    <col min="6659" max="6659" width="29.86328125" style="65" bestFit="1" customWidth="1"/>
    <col min="6660" max="6660" width="5" style="65" customWidth="1"/>
    <col min="6661" max="6661" width="45.73046875" style="65" bestFit="1" customWidth="1"/>
    <col min="6662" max="6662" width="11" style="65" customWidth="1"/>
    <col min="6663" max="6663" width="27" style="65" bestFit="1" customWidth="1"/>
    <col min="6664" max="6664" width="12" style="65" bestFit="1" customWidth="1"/>
    <col min="6665" max="6665" width="9" style="65" customWidth="1"/>
    <col min="6666" max="6666" width="5.265625" style="65" customWidth="1"/>
    <col min="6667" max="6667" width="14.265625" style="65" bestFit="1" customWidth="1"/>
    <col min="6668" max="6913" width="11.3984375" style="65"/>
    <col min="6914" max="6914" width="4.86328125" style="65" customWidth="1"/>
    <col min="6915" max="6915" width="29.86328125" style="65" bestFit="1" customWidth="1"/>
    <col min="6916" max="6916" width="5" style="65" customWidth="1"/>
    <col min="6917" max="6917" width="45.73046875" style="65" bestFit="1" customWidth="1"/>
    <col min="6918" max="6918" width="11" style="65" customWidth="1"/>
    <col min="6919" max="6919" width="27" style="65" bestFit="1" customWidth="1"/>
    <col min="6920" max="6920" width="12" style="65" bestFit="1" customWidth="1"/>
    <col min="6921" max="6921" width="9" style="65" customWidth="1"/>
    <col min="6922" max="6922" width="5.265625" style="65" customWidth="1"/>
    <col min="6923" max="6923" width="14.265625" style="65" bestFit="1" customWidth="1"/>
    <col min="6924" max="7169" width="11.3984375" style="65"/>
    <col min="7170" max="7170" width="4.86328125" style="65" customWidth="1"/>
    <col min="7171" max="7171" width="29.86328125" style="65" bestFit="1" customWidth="1"/>
    <col min="7172" max="7172" width="5" style="65" customWidth="1"/>
    <col min="7173" max="7173" width="45.73046875" style="65" bestFit="1" customWidth="1"/>
    <col min="7174" max="7174" width="11" style="65" customWidth="1"/>
    <col min="7175" max="7175" width="27" style="65" bestFit="1" customWidth="1"/>
    <col min="7176" max="7176" width="12" style="65" bestFit="1" customWidth="1"/>
    <col min="7177" max="7177" width="9" style="65" customWidth="1"/>
    <col min="7178" max="7178" width="5.265625" style="65" customWidth="1"/>
    <col min="7179" max="7179" width="14.265625" style="65" bestFit="1" customWidth="1"/>
    <col min="7180" max="7425" width="11.3984375" style="65"/>
    <col min="7426" max="7426" width="4.86328125" style="65" customWidth="1"/>
    <col min="7427" max="7427" width="29.86328125" style="65" bestFit="1" customWidth="1"/>
    <col min="7428" max="7428" width="5" style="65" customWidth="1"/>
    <col min="7429" max="7429" width="45.73046875" style="65" bestFit="1" customWidth="1"/>
    <col min="7430" max="7430" width="11" style="65" customWidth="1"/>
    <col min="7431" max="7431" width="27" style="65" bestFit="1" customWidth="1"/>
    <col min="7432" max="7432" width="12" style="65" bestFit="1" customWidth="1"/>
    <col min="7433" max="7433" width="9" style="65" customWidth="1"/>
    <col min="7434" max="7434" width="5.265625" style="65" customWidth="1"/>
    <col min="7435" max="7435" width="14.265625" style="65" bestFit="1" customWidth="1"/>
    <col min="7436" max="7681" width="11.3984375" style="65"/>
    <col min="7682" max="7682" width="4.86328125" style="65" customWidth="1"/>
    <col min="7683" max="7683" width="29.86328125" style="65" bestFit="1" customWidth="1"/>
    <col min="7684" max="7684" width="5" style="65" customWidth="1"/>
    <col min="7685" max="7685" width="45.73046875" style="65" bestFit="1" customWidth="1"/>
    <col min="7686" max="7686" width="11" style="65" customWidth="1"/>
    <col min="7687" max="7687" width="27" style="65" bestFit="1" customWidth="1"/>
    <col min="7688" max="7688" width="12" style="65" bestFit="1" customWidth="1"/>
    <col min="7689" max="7689" width="9" style="65" customWidth="1"/>
    <col min="7690" max="7690" width="5.265625" style="65" customWidth="1"/>
    <col min="7691" max="7691" width="14.265625" style="65" bestFit="1" customWidth="1"/>
    <col min="7692" max="7937" width="11.3984375" style="65"/>
    <col min="7938" max="7938" width="4.86328125" style="65" customWidth="1"/>
    <col min="7939" max="7939" width="29.86328125" style="65" bestFit="1" customWidth="1"/>
    <col min="7940" max="7940" width="5" style="65" customWidth="1"/>
    <col min="7941" max="7941" width="45.73046875" style="65" bestFit="1" customWidth="1"/>
    <col min="7942" max="7942" width="11" style="65" customWidth="1"/>
    <col min="7943" max="7943" width="27" style="65" bestFit="1" customWidth="1"/>
    <col min="7944" max="7944" width="12" style="65" bestFit="1" customWidth="1"/>
    <col min="7945" max="7945" width="9" style="65" customWidth="1"/>
    <col min="7946" max="7946" width="5.265625" style="65" customWidth="1"/>
    <col min="7947" max="7947" width="14.265625" style="65" bestFit="1" customWidth="1"/>
    <col min="7948" max="8193" width="11.3984375" style="65"/>
    <col min="8194" max="8194" width="4.86328125" style="65" customWidth="1"/>
    <col min="8195" max="8195" width="29.86328125" style="65" bestFit="1" customWidth="1"/>
    <col min="8196" max="8196" width="5" style="65" customWidth="1"/>
    <col min="8197" max="8197" width="45.73046875" style="65" bestFit="1" customWidth="1"/>
    <col min="8198" max="8198" width="11" style="65" customWidth="1"/>
    <col min="8199" max="8199" width="27" style="65" bestFit="1" customWidth="1"/>
    <col min="8200" max="8200" width="12" style="65" bestFit="1" customWidth="1"/>
    <col min="8201" max="8201" width="9" style="65" customWidth="1"/>
    <col min="8202" max="8202" width="5.265625" style="65" customWidth="1"/>
    <col min="8203" max="8203" width="14.265625" style="65" bestFit="1" customWidth="1"/>
    <col min="8204" max="8449" width="11.3984375" style="65"/>
    <col min="8450" max="8450" width="4.86328125" style="65" customWidth="1"/>
    <col min="8451" max="8451" width="29.86328125" style="65" bestFit="1" customWidth="1"/>
    <col min="8452" max="8452" width="5" style="65" customWidth="1"/>
    <col min="8453" max="8453" width="45.73046875" style="65" bestFit="1" customWidth="1"/>
    <col min="8454" max="8454" width="11" style="65" customWidth="1"/>
    <col min="8455" max="8455" width="27" style="65" bestFit="1" customWidth="1"/>
    <col min="8456" max="8456" width="12" style="65" bestFit="1" customWidth="1"/>
    <col min="8457" max="8457" width="9" style="65" customWidth="1"/>
    <col min="8458" max="8458" width="5.265625" style="65" customWidth="1"/>
    <col min="8459" max="8459" width="14.265625" style="65" bestFit="1" customWidth="1"/>
    <col min="8460" max="8705" width="11.3984375" style="65"/>
    <col min="8706" max="8706" width="4.86328125" style="65" customWidth="1"/>
    <col min="8707" max="8707" width="29.86328125" style="65" bestFit="1" customWidth="1"/>
    <col min="8708" max="8708" width="5" style="65" customWidth="1"/>
    <col min="8709" max="8709" width="45.73046875" style="65" bestFit="1" customWidth="1"/>
    <col min="8710" max="8710" width="11" style="65" customWidth="1"/>
    <col min="8711" max="8711" width="27" style="65" bestFit="1" customWidth="1"/>
    <col min="8712" max="8712" width="12" style="65" bestFit="1" customWidth="1"/>
    <col min="8713" max="8713" width="9" style="65" customWidth="1"/>
    <col min="8714" max="8714" width="5.265625" style="65" customWidth="1"/>
    <col min="8715" max="8715" width="14.265625" style="65" bestFit="1" customWidth="1"/>
    <col min="8716" max="8961" width="11.3984375" style="65"/>
    <col min="8962" max="8962" width="4.86328125" style="65" customWidth="1"/>
    <col min="8963" max="8963" width="29.86328125" style="65" bestFit="1" customWidth="1"/>
    <col min="8964" max="8964" width="5" style="65" customWidth="1"/>
    <col min="8965" max="8965" width="45.73046875" style="65" bestFit="1" customWidth="1"/>
    <col min="8966" max="8966" width="11" style="65" customWidth="1"/>
    <col min="8967" max="8967" width="27" style="65" bestFit="1" customWidth="1"/>
    <col min="8968" max="8968" width="12" style="65" bestFit="1" customWidth="1"/>
    <col min="8969" max="8969" width="9" style="65" customWidth="1"/>
    <col min="8970" max="8970" width="5.265625" style="65" customWidth="1"/>
    <col min="8971" max="8971" width="14.265625" style="65" bestFit="1" customWidth="1"/>
    <col min="8972" max="9217" width="11.3984375" style="65"/>
    <col min="9218" max="9218" width="4.86328125" style="65" customWidth="1"/>
    <col min="9219" max="9219" width="29.86328125" style="65" bestFit="1" customWidth="1"/>
    <col min="9220" max="9220" width="5" style="65" customWidth="1"/>
    <col min="9221" max="9221" width="45.73046875" style="65" bestFit="1" customWidth="1"/>
    <col min="9222" max="9222" width="11" style="65" customWidth="1"/>
    <col min="9223" max="9223" width="27" style="65" bestFit="1" customWidth="1"/>
    <col min="9224" max="9224" width="12" style="65" bestFit="1" customWidth="1"/>
    <col min="9225" max="9225" width="9" style="65" customWidth="1"/>
    <col min="9226" max="9226" width="5.265625" style="65" customWidth="1"/>
    <col min="9227" max="9227" width="14.265625" style="65" bestFit="1" customWidth="1"/>
    <col min="9228" max="9473" width="11.3984375" style="65"/>
    <col min="9474" max="9474" width="4.86328125" style="65" customWidth="1"/>
    <col min="9475" max="9475" width="29.86328125" style="65" bestFit="1" customWidth="1"/>
    <col min="9476" max="9476" width="5" style="65" customWidth="1"/>
    <col min="9477" max="9477" width="45.73046875" style="65" bestFit="1" customWidth="1"/>
    <col min="9478" max="9478" width="11" style="65" customWidth="1"/>
    <col min="9479" max="9479" width="27" style="65" bestFit="1" customWidth="1"/>
    <col min="9480" max="9480" width="12" style="65" bestFit="1" customWidth="1"/>
    <col min="9481" max="9481" width="9" style="65" customWidth="1"/>
    <col min="9482" max="9482" width="5.265625" style="65" customWidth="1"/>
    <col min="9483" max="9483" width="14.265625" style="65" bestFit="1" customWidth="1"/>
    <col min="9484" max="9729" width="11.3984375" style="65"/>
    <col min="9730" max="9730" width="4.86328125" style="65" customWidth="1"/>
    <col min="9731" max="9731" width="29.86328125" style="65" bestFit="1" customWidth="1"/>
    <col min="9732" max="9732" width="5" style="65" customWidth="1"/>
    <col min="9733" max="9733" width="45.73046875" style="65" bestFit="1" customWidth="1"/>
    <col min="9734" max="9734" width="11" style="65" customWidth="1"/>
    <col min="9735" max="9735" width="27" style="65" bestFit="1" customWidth="1"/>
    <col min="9736" max="9736" width="12" style="65" bestFit="1" customWidth="1"/>
    <col min="9737" max="9737" width="9" style="65" customWidth="1"/>
    <col min="9738" max="9738" width="5.265625" style="65" customWidth="1"/>
    <col min="9739" max="9739" width="14.265625" style="65" bestFit="1" customWidth="1"/>
    <col min="9740" max="9985" width="11.3984375" style="65"/>
    <col min="9986" max="9986" width="4.86328125" style="65" customWidth="1"/>
    <col min="9987" max="9987" width="29.86328125" style="65" bestFit="1" customWidth="1"/>
    <col min="9988" max="9988" width="5" style="65" customWidth="1"/>
    <col min="9989" max="9989" width="45.73046875" style="65" bestFit="1" customWidth="1"/>
    <col min="9990" max="9990" width="11" style="65" customWidth="1"/>
    <col min="9991" max="9991" width="27" style="65" bestFit="1" customWidth="1"/>
    <col min="9992" max="9992" width="12" style="65" bestFit="1" customWidth="1"/>
    <col min="9993" max="9993" width="9" style="65" customWidth="1"/>
    <col min="9994" max="9994" width="5.265625" style="65" customWidth="1"/>
    <col min="9995" max="9995" width="14.265625" style="65" bestFit="1" customWidth="1"/>
    <col min="9996" max="10241" width="11.3984375" style="65"/>
    <col min="10242" max="10242" width="4.86328125" style="65" customWidth="1"/>
    <col min="10243" max="10243" width="29.86328125" style="65" bestFit="1" customWidth="1"/>
    <col min="10244" max="10244" width="5" style="65" customWidth="1"/>
    <col min="10245" max="10245" width="45.73046875" style="65" bestFit="1" customWidth="1"/>
    <col min="10246" max="10246" width="11" style="65" customWidth="1"/>
    <col min="10247" max="10247" width="27" style="65" bestFit="1" customWidth="1"/>
    <col min="10248" max="10248" width="12" style="65" bestFit="1" customWidth="1"/>
    <col min="10249" max="10249" width="9" style="65" customWidth="1"/>
    <col min="10250" max="10250" width="5.265625" style="65" customWidth="1"/>
    <col min="10251" max="10251" width="14.265625" style="65" bestFit="1" customWidth="1"/>
    <col min="10252" max="10497" width="11.3984375" style="65"/>
    <col min="10498" max="10498" width="4.86328125" style="65" customWidth="1"/>
    <col min="10499" max="10499" width="29.86328125" style="65" bestFit="1" customWidth="1"/>
    <col min="10500" max="10500" width="5" style="65" customWidth="1"/>
    <col min="10501" max="10501" width="45.73046875" style="65" bestFit="1" customWidth="1"/>
    <col min="10502" max="10502" width="11" style="65" customWidth="1"/>
    <col min="10503" max="10503" width="27" style="65" bestFit="1" customWidth="1"/>
    <col min="10504" max="10504" width="12" style="65" bestFit="1" customWidth="1"/>
    <col min="10505" max="10505" width="9" style="65" customWidth="1"/>
    <col min="10506" max="10506" width="5.265625" style="65" customWidth="1"/>
    <col min="10507" max="10507" width="14.265625" style="65" bestFit="1" customWidth="1"/>
    <col min="10508" max="10753" width="11.3984375" style="65"/>
    <col min="10754" max="10754" width="4.86328125" style="65" customWidth="1"/>
    <col min="10755" max="10755" width="29.86328125" style="65" bestFit="1" customWidth="1"/>
    <col min="10756" max="10756" width="5" style="65" customWidth="1"/>
    <col min="10757" max="10757" width="45.73046875" style="65" bestFit="1" customWidth="1"/>
    <col min="10758" max="10758" width="11" style="65" customWidth="1"/>
    <col min="10759" max="10759" width="27" style="65" bestFit="1" customWidth="1"/>
    <col min="10760" max="10760" width="12" style="65" bestFit="1" customWidth="1"/>
    <col min="10761" max="10761" width="9" style="65" customWidth="1"/>
    <col min="10762" max="10762" width="5.265625" style="65" customWidth="1"/>
    <col min="10763" max="10763" width="14.265625" style="65" bestFit="1" customWidth="1"/>
    <col min="10764" max="11009" width="11.3984375" style="65"/>
    <col min="11010" max="11010" width="4.86328125" style="65" customWidth="1"/>
    <col min="11011" max="11011" width="29.86328125" style="65" bestFit="1" customWidth="1"/>
    <col min="11012" max="11012" width="5" style="65" customWidth="1"/>
    <col min="11013" max="11013" width="45.73046875" style="65" bestFit="1" customWidth="1"/>
    <col min="11014" max="11014" width="11" style="65" customWidth="1"/>
    <col min="11015" max="11015" width="27" style="65" bestFit="1" customWidth="1"/>
    <col min="11016" max="11016" width="12" style="65" bestFit="1" customWidth="1"/>
    <col min="11017" max="11017" width="9" style="65" customWidth="1"/>
    <col min="11018" max="11018" width="5.265625" style="65" customWidth="1"/>
    <col min="11019" max="11019" width="14.265625" style="65" bestFit="1" customWidth="1"/>
    <col min="11020" max="11265" width="11.3984375" style="65"/>
    <col min="11266" max="11266" width="4.86328125" style="65" customWidth="1"/>
    <col min="11267" max="11267" width="29.86328125" style="65" bestFit="1" customWidth="1"/>
    <col min="11268" max="11268" width="5" style="65" customWidth="1"/>
    <col min="11269" max="11269" width="45.73046875" style="65" bestFit="1" customWidth="1"/>
    <col min="11270" max="11270" width="11" style="65" customWidth="1"/>
    <col min="11271" max="11271" width="27" style="65" bestFit="1" customWidth="1"/>
    <col min="11272" max="11272" width="12" style="65" bestFit="1" customWidth="1"/>
    <col min="11273" max="11273" width="9" style="65" customWidth="1"/>
    <col min="11274" max="11274" width="5.265625" style="65" customWidth="1"/>
    <col min="11275" max="11275" width="14.265625" style="65" bestFit="1" customWidth="1"/>
    <col min="11276" max="11521" width="11.3984375" style="65"/>
    <col min="11522" max="11522" width="4.86328125" style="65" customWidth="1"/>
    <col min="11523" max="11523" width="29.86328125" style="65" bestFit="1" customWidth="1"/>
    <col min="11524" max="11524" width="5" style="65" customWidth="1"/>
    <col min="11525" max="11525" width="45.73046875" style="65" bestFit="1" customWidth="1"/>
    <col min="11526" max="11526" width="11" style="65" customWidth="1"/>
    <col min="11527" max="11527" width="27" style="65" bestFit="1" customWidth="1"/>
    <col min="11528" max="11528" width="12" style="65" bestFit="1" customWidth="1"/>
    <col min="11529" max="11529" width="9" style="65" customWidth="1"/>
    <col min="11530" max="11530" width="5.265625" style="65" customWidth="1"/>
    <col min="11531" max="11531" width="14.265625" style="65" bestFit="1" customWidth="1"/>
    <col min="11532" max="11777" width="11.3984375" style="65"/>
    <col min="11778" max="11778" width="4.86328125" style="65" customWidth="1"/>
    <col min="11779" max="11779" width="29.86328125" style="65" bestFit="1" customWidth="1"/>
    <col min="11780" max="11780" width="5" style="65" customWidth="1"/>
    <col min="11781" max="11781" width="45.73046875" style="65" bestFit="1" customWidth="1"/>
    <col min="11782" max="11782" width="11" style="65" customWidth="1"/>
    <col min="11783" max="11783" width="27" style="65" bestFit="1" customWidth="1"/>
    <col min="11784" max="11784" width="12" style="65" bestFit="1" customWidth="1"/>
    <col min="11785" max="11785" width="9" style="65" customWidth="1"/>
    <col min="11786" max="11786" width="5.265625" style="65" customWidth="1"/>
    <col min="11787" max="11787" width="14.265625" style="65" bestFit="1" customWidth="1"/>
    <col min="11788" max="12033" width="11.3984375" style="65"/>
    <col min="12034" max="12034" width="4.86328125" style="65" customWidth="1"/>
    <col min="12035" max="12035" width="29.86328125" style="65" bestFit="1" customWidth="1"/>
    <col min="12036" max="12036" width="5" style="65" customWidth="1"/>
    <col min="12037" max="12037" width="45.73046875" style="65" bestFit="1" customWidth="1"/>
    <col min="12038" max="12038" width="11" style="65" customWidth="1"/>
    <col min="12039" max="12039" width="27" style="65" bestFit="1" customWidth="1"/>
    <col min="12040" max="12040" width="12" style="65" bestFit="1" customWidth="1"/>
    <col min="12041" max="12041" width="9" style="65" customWidth="1"/>
    <col min="12042" max="12042" width="5.265625" style="65" customWidth="1"/>
    <col min="12043" max="12043" width="14.265625" style="65" bestFit="1" customWidth="1"/>
    <col min="12044" max="12289" width="11.3984375" style="65"/>
    <col min="12290" max="12290" width="4.86328125" style="65" customWidth="1"/>
    <col min="12291" max="12291" width="29.86328125" style="65" bestFit="1" customWidth="1"/>
    <col min="12292" max="12292" width="5" style="65" customWidth="1"/>
    <col min="12293" max="12293" width="45.73046875" style="65" bestFit="1" customWidth="1"/>
    <col min="12294" max="12294" width="11" style="65" customWidth="1"/>
    <col min="12295" max="12295" width="27" style="65" bestFit="1" customWidth="1"/>
    <col min="12296" max="12296" width="12" style="65" bestFit="1" customWidth="1"/>
    <col min="12297" max="12297" width="9" style="65" customWidth="1"/>
    <col min="12298" max="12298" width="5.265625" style="65" customWidth="1"/>
    <col min="12299" max="12299" width="14.265625" style="65" bestFit="1" customWidth="1"/>
    <col min="12300" max="12545" width="11.3984375" style="65"/>
    <col min="12546" max="12546" width="4.86328125" style="65" customWidth="1"/>
    <col min="12547" max="12547" width="29.86328125" style="65" bestFit="1" customWidth="1"/>
    <col min="12548" max="12548" width="5" style="65" customWidth="1"/>
    <col min="12549" max="12549" width="45.73046875" style="65" bestFit="1" customWidth="1"/>
    <col min="12550" max="12550" width="11" style="65" customWidth="1"/>
    <col min="12551" max="12551" width="27" style="65" bestFit="1" customWidth="1"/>
    <col min="12552" max="12552" width="12" style="65" bestFit="1" customWidth="1"/>
    <col min="12553" max="12553" width="9" style="65" customWidth="1"/>
    <col min="12554" max="12554" width="5.265625" style="65" customWidth="1"/>
    <col min="12555" max="12555" width="14.265625" style="65" bestFit="1" customWidth="1"/>
    <col min="12556" max="12801" width="11.3984375" style="65"/>
    <col min="12802" max="12802" width="4.86328125" style="65" customWidth="1"/>
    <col min="12803" max="12803" width="29.86328125" style="65" bestFit="1" customWidth="1"/>
    <col min="12804" max="12804" width="5" style="65" customWidth="1"/>
    <col min="12805" max="12805" width="45.73046875" style="65" bestFit="1" customWidth="1"/>
    <col min="12806" max="12806" width="11" style="65" customWidth="1"/>
    <col min="12807" max="12807" width="27" style="65" bestFit="1" customWidth="1"/>
    <col min="12808" max="12808" width="12" style="65" bestFit="1" customWidth="1"/>
    <col min="12809" max="12809" width="9" style="65" customWidth="1"/>
    <col min="12810" max="12810" width="5.265625" style="65" customWidth="1"/>
    <col min="12811" max="12811" width="14.265625" style="65" bestFit="1" customWidth="1"/>
    <col min="12812" max="13057" width="11.3984375" style="65"/>
    <col min="13058" max="13058" width="4.86328125" style="65" customWidth="1"/>
    <col min="13059" max="13059" width="29.86328125" style="65" bestFit="1" customWidth="1"/>
    <col min="13060" max="13060" width="5" style="65" customWidth="1"/>
    <col min="13061" max="13061" width="45.73046875" style="65" bestFit="1" customWidth="1"/>
    <col min="13062" max="13062" width="11" style="65" customWidth="1"/>
    <col min="13063" max="13063" width="27" style="65" bestFit="1" customWidth="1"/>
    <col min="13064" max="13064" width="12" style="65" bestFit="1" customWidth="1"/>
    <col min="13065" max="13065" width="9" style="65" customWidth="1"/>
    <col min="13066" max="13066" width="5.265625" style="65" customWidth="1"/>
    <col min="13067" max="13067" width="14.265625" style="65" bestFit="1" customWidth="1"/>
    <col min="13068" max="13313" width="11.3984375" style="65"/>
    <col min="13314" max="13314" width="4.86328125" style="65" customWidth="1"/>
    <col min="13315" max="13315" width="29.86328125" style="65" bestFit="1" customWidth="1"/>
    <col min="13316" max="13316" width="5" style="65" customWidth="1"/>
    <col min="13317" max="13317" width="45.73046875" style="65" bestFit="1" customWidth="1"/>
    <col min="13318" max="13318" width="11" style="65" customWidth="1"/>
    <col min="13319" max="13319" width="27" style="65" bestFit="1" customWidth="1"/>
    <col min="13320" max="13320" width="12" style="65" bestFit="1" customWidth="1"/>
    <col min="13321" max="13321" width="9" style="65" customWidth="1"/>
    <col min="13322" max="13322" width="5.265625" style="65" customWidth="1"/>
    <col min="13323" max="13323" width="14.265625" style="65" bestFit="1" customWidth="1"/>
    <col min="13324" max="13569" width="11.3984375" style="65"/>
    <col min="13570" max="13570" width="4.86328125" style="65" customWidth="1"/>
    <col min="13571" max="13571" width="29.86328125" style="65" bestFit="1" customWidth="1"/>
    <col min="13572" max="13572" width="5" style="65" customWidth="1"/>
    <col min="13573" max="13573" width="45.73046875" style="65" bestFit="1" customWidth="1"/>
    <col min="13574" max="13574" width="11" style="65" customWidth="1"/>
    <col min="13575" max="13575" width="27" style="65" bestFit="1" customWidth="1"/>
    <col min="13576" max="13576" width="12" style="65" bestFit="1" customWidth="1"/>
    <col min="13577" max="13577" width="9" style="65" customWidth="1"/>
    <col min="13578" max="13578" width="5.265625" style="65" customWidth="1"/>
    <col min="13579" max="13579" width="14.265625" style="65" bestFit="1" customWidth="1"/>
    <col min="13580" max="13825" width="11.3984375" style="65"/>
    <col min="13826" max="13826" width="4.86328125" style="65" customWidth="1"/>
    <col min="13827" max="13827" width="29.86328125" style="65" bestFit="1" customWidth="1"/>
    <col min="13828" max="13828" width="5" style="65" customWidth="1"/>
    <col min="13829" max="13829" width="45.73046875" style="65" bestFit="1" customWidth="1"/>
    <col min="13830" max="13830" width="11" style="65" customWidth="1"/>
    <col min="13831" max="13831" width="27" style="65" bestFit="1" customWidth="1"/>
    <col min="13832" max="13832" width="12" style="65" bestFit="1" customWidth="1"/>
    <col min="13833" max="13833" width="9" style="65" customWidth="1"/>
    <col min="13834" max="13834" width="5.265625" style="65" customWidth="1"/>
    <col min="13835" max="13835" width="14.265625" style="65" bestFit="1" customWidth="1"/>
    <col min="13836" max="14081" width="11.3984375" style="65"/>
    <col min="14082" max="14082" width="4.86328125" style="65" customWidth="1"/>
    <col min="14083" max="14083" width="29.86328125" style="65" bestFit="1" customWidth="1"/>
    <col min="14084" max="14084" width="5" style="65" customWidth="1"/>
    <col min="14085" max="14085" width="45.73046875" style="65" bestFit="1" customWidth="1"/>
    <col min="14086" max="14086" width="11" style="65" customWidth="1"/>
    <col min="14087" max="14087" width="27" style="65" bestFit="1" customWidth="1"/>
    <col min="14088" max="14088" width="12" style="65" bestFit="1" customWidth="1"/>
    <col min="14089" max="14089" width="9" style="65" customWidth="1"/>
    <col min="14090" max="14090" width="5.265625" style="65" customWidth="1"/>
    <col min="14091" max="14091" width="14.265625" style="65" bestFit="1" customWidth="1"/>
    <col min="14092" max="14337" width="11.3984375" style="65"/>
    <col min="14338" max="14338" width="4.86328125" style="65" customWidth="1"/>
    <col min="14339" max="14339" width="29.86328125" style="65" bestFit="1" customWidth="1"/>
    <col min="14340" max="14340" width="5" style="65" customWidth="1"/>
    <col min="14341" max="14341" width="45.73046875" style="65" bestFit="1" customWidth="1"/>
    <col min="14342" max="14342" width="11" style="65" customWidth="1"/>
    <col min="14343" max="14343" width="27" style="65" bestFit="1" customWidth="1"/>
    <col min="14344" max="14344" width="12" style="65" bestFit="1" customWidth="1"/>
    <col min="14345" max="14345" width="9" style="65" customWidth="1"/>
    <col min="14346" max="14346" width="5.265625" style="65" customWidth="1"/>
    <col min="14347" max="14347" width="14.265625" style="65" bestFit="1" customWidth="1"/>
    <col min="14348" max="14593" width="11.3984375" style="65"/>
    <col min="14594" max="14594" width="4.86328125" style="65" customWidth="1"/>
    <col min="14595" max="14595" width="29.86328125" style="65" bestFit="1" customWidth="1"/>
    <col min="14596" max="14596" width="5" style="65" customWidth="1"/>
    <col min="14597" max="14597" width="45.73046875" style="65" bestFit="1" customWidth="1"/>
    <col min="14598" max="14598" width="11" style="65" customWidth="1"/>
    <col min="14599" max="14599" width="27" style="65" bestFit="1" customWidth="1"/>
    <col min="14600" max="14600" width="12" style="65" bestFit="1" customWidth="1"/>
    <col min="14601" max="14601" width="9" style="65" customWidth="1"/>
    <col min="14602" max="14602" width="5.265625" style="65" customWidth="1"/>
    <col min="14603" max="14603" width="14.265625" style="65" bestFit="1" customWidth="1"/>
    <col min="14604" max="14849" width="11.3984375" style="65"/>
    <col min="14850" max="14850" width="4.86328125" style="65" customWidth="1"/>
    <col min="14851" max="14851" width="29.86328125" style="65" bestFit="1" customWidth="1"/>
    <col min="14852" max="14852" width="5" style="65" customWidth="1"/>
    <col min="14853" max="14853" width="45.73046875" style="65" bestFit="1" customWidth="1"/>
    <col min="14854" max="14854" width="11" style="65" customWidth="1"/>
    <col min="14855" max="14855" width="27" style="65" bestFit="1" customWidth="1"/>
    <col min="14856" max="14856" width="12" style="65" bestFit="1" customWidth="1"/>
    <col min="14857" max="14857" width="9" style="65" customWidth="1"/>
    <col min="14858" max="14858" width="5.265625" style="65" customWidth="1"/>
    <col min="14859" max="14859" width="14.265625" style="65" bestFit="1" customWidth="1"/>
    <col min="14860" max="15105" width="11.3984375" style="65"/>
    <col min="15106" max="15106" width="4.86328125" style="65" customWidth="1"/>
    <col min="15107" max="15107" width="29.86328125" style="65" bestFit="1" customWidth="1"/>
    <col min="15108" max="15108" width="5" style="65" customWidth="1"/>
    <col min="15109" max="15109" width="45.73046875" style="65" bestFit="1" customWidth="1"/>
    <col min="15110" max="15110" width="11" style="65" customWidth="1"/>
    <col min="15111" max="15111" width="27" style="65" bestFit="1" customWidth="1"/>
    <col min="15112" max="15112" width="12" style="65" bestFit="1" customWidth="1"/>
    <col min="15113" max="15113" width="9" style="65" customWidth="1"/>
    <col min="15114" max="15114" width="5.265625" style="65" customWidth="1"/>
    <col min="15115" max="15115" width="14.265625" style="65" bestFit="1" customWidth="1"/>
    <col min="15116" max="15361" width="11.3984375" style="65"/>
    <col min="15362" max="15362" width="4.86328125" style="65" customWidth="1"/>
    <col min="15363" max="15363" width="29.86328125" style="65" bestFit="1" customWidth="1"/>
    <col min="15364" max="15364" width="5" style="65" customWidth="1"/>
    <col min="15365" max="15365" width="45.73046875" style="65" bestFit="1" customWidth="1"/>
    <col min="15366" max="15366" width="11" style="65" customWidth="1"/>
    <col min="15367" max="15367" width="27" style="65" bestFit="1" customWidth="1"/>
    <col min="15368" max="15368" width="12" style="65" bestFit="1" customWidth="1"/>
    <col min="15369" max="15369" width="9" style="65" customWidth="1"/>
    <col min="15370" max="15370" width="5.265625" style="65" customWidth="1"/>
    <col min="15371" max="15371" width="14.265625" style="65" bestFit="1" customWidth="1"/>
    <col min="15372" max="15617" width="11.3984375" style="65"/>
    <col min="15618" max="15618" width="4.86328125" style="65" customWidth="1"/>
    <col min="15619" max="15619" width="29.86328125" style="65" bestFit="1" customWidth="1"/>
    <col min="15620" max="15620" width="5" style="65" customWidth="1"/>
    <col min="15621" max="15621" width="45.73046875" style="65" bestFit="1" customWidth="1"/>
    <col min="15622" max="15622" width="11" style="65" customWidth="1"/>
    <col min="15623" max="15623" width="27" style="65" bestFit="1" customWidth="1"/>
    <col min="15624" max="15624" width="12" style="65" bestFit="1" customWidth="1"/>
    <col min="15625" max="15625" width="9" style="65" customWidth="1"/>
    <col min="15626" max="15626" width="5.265625" style="65" customWidth="1"/>
    <col min="15627" max="15627" width="14.265625" style="65" bestFit="1" customWidth="1"/>
    <col min="15628" max="15873" width="11.3984375" style="65"/>
    <col min="15874" max="15874" width="4.86328125" style="65" customWidth="1"/>
    <col min="15875" max="15875" width="29.86328125" style="65" bestFit="1" customWidth="1"/>
    <col min="15876" max="15876" width="5" style="65" customWidth="1"/>
    <col min="15877" max="15877" width="45.73046875" style="65" bestFit="1" customWidth="1"/>
    <col min="15878" max="15878" width="11" style="65" customWidth="1"/>
    <col min="15879" max="15879" width="27" style="65" bestFit="1" customWidth="1"/>
    <col min="15880" max="15880" width="12" style="65" bestFit="1" customWidth="1"/>
    <col min="15881" max="15881" width="9" style="65" customWidth="1"/>
    <col min="15882" max="15882" width="5.265625" style="65" customWidth="1"/>
    <col min="15883" max="15883" width="14.265625" style="65" bestFit="1" customWidth="1"/>
    <col min="15884" max="16129" width="11.3984375" style="65"/>
    <col min="16130" max="16130" width="4.86328125" style="65" customWidth="1"/>
    <col min="16131" max="16131" width="29.86328125" style="65" bestFit="1" customWidth="1"/>
    <col min="16132" max="16132" width="5" style="65" customWidth="1"/>
    <col min="16133" max="16133" width="45.73046875" style="65" bestFit="1" customWidth="1"/>
    <col min="16134" max="16134" width="11" style="65" customWidth="1"/>
    <col min="16135" max="16135" width="27" style="65" bestFit="1" customWidth="1"/>
    <col min="16136" max="16136" width="12" style="65" bestFit="1" customWidth="1"/>
    <col min="16137" max="16137" width="9" style="65" customWidth="1"/>
    <col min="16138" max="16138" width="5.265625" style="65" customWidth="1"/>
    <col min="16139" max="16139" width="14.265625" style="65" bestFit="1" customWidth="1"/>
    <col min="16140" max="16384" width="11.3984375" style="65"/>
  </cols>
  <sheetData>
    <row r="1" spans="1:12" ht="71.25" customHeight="1" thickBot="1" x14ac:dyDescent="0.4">
      <c r="C1" s="128" t="s">
        <v>545</v>
      </c>
      <c r="D1" s="128"/>
      <c r="E1" s="128"/>
      <c r="F1" s="128"/>
      <c r="G1" s="128"/>
      <c r="H1" s="89" t="s">
        <v>546</v>
      </c>
      <c r="I1" s="129" t="s">
        <v>552</v>
      </c>
      <c r="J1" s="130"/>
      <c r="K1" s="131"/>
    </row>
    <row r="2" spans="1:12" x14ac:dyDescent="0.35">
      <c r="G2" s="80"/>
      <c r="H2" s="78"/>
      <c r="I2" s="112"/>
    </row>
    <row r="3" spans="1:12" x14ac:dyDescent="0.35">
      <c r="A3" s="91" t="s">
        <v>0</v>
      </c>
      <c r="B3" s="82" t="s">
        <v>142</v>
      </c>
      <c r="C3" s="82" t="s">
        <v>192</v>
      </c>
      <c r="D3" s="81" t="s">
        <v>167</v>
      </c>
      <c r="E3" s="81" t="s">
        <v>1</v>
      </c>
      <c r="F3" s="91" t="s">
        <v>168</v>
      </c>
      <c r="G3" s="81" t="s">
        <v>169</v>
      </c>
      <c r="H3" s="103" t="s">
        <v>2</v>
      </c>
      <c r="I3" s="81" t="s">
        <v>170</v>
      </c>
    </row>
    <row r="4" spans="1:12" ht="13.15" x14ac:dyDescent="0.4">
      <c r="A4" s="91" t="s">
        <v>19</v>
      </c>
      <c r="B4" s="61" t="s">
        <v>358</v>
      </c>
      <c r="C4" s="61" t="s">
        <v>271</v>
      </c>
      <c r="D4" s="60" t="s">
        <v>171</v>
      </c>
      <c r="E4" s="61" t="s">
        <v>3</v>
      </c>
      <c r="F4" s="92">
        <v>32410</v>
      </c>
      <c r="G4" s="61" t="s">
        <v>176</v>
      </c>
      <c r="H4" s="63" t="s">
        <v>418</v>
      </c>
      <c r="I4" s="60" t="s">
        <v>419</v>
      </c>
      <c r="K4" s="83" t="s">
        <v>173</v>
      </c>
      <c r="L4" s="84">
        <f>COUNTIFS(A4:A211,1)</f>
        <v>31</v>
      </c>
    </row>
    <row r="5" spans="1:12" ht="13.15" x14ac:dyDescent="0.4">
      <c r="A5" s="91" t="s">
        <v>19</v>
      </c>
      <c r="B5" s="61" t="s">
        <v>194</v>
      </c>
      <c r="C5" s="61" t="s">
        <v>195</v>
      </c>
      <c r="D5" s="60" t="s">
        <v>171</v>
      </c>
      <c r="E5" s="61" t="s">
        <v>20</v>
      </c>
      <c r="F5" s="92">
        <v>25227</v>
      </c>
      <c r="G5" s="61" t="s">
        <v>174</v>
      </c>
      <c r="H5" s="63" t="s">
        <v>21</v>
      </c>
      <c r="I5" s="60" t="s">
        <v>419</v>
      </c>
      <c r="K5" s="83" t="s">
        <v>175</v>
      </c>
      <c r="L5" s="84">
        <f>COUNTIFS(A4:A211,2)</f>
        <v>32</v>
      </c>
    </row>
    <row r="6" spans="1:12" ht="13.15" x14ac:dyDescent="0.4">
      <c r="A6" s="91" t="s">
        <v>19</v>
      </c>
      <c r="B6" s="61" t="s">
        <v>196</v>
      </c>
      <c r="C6" s="61" t="s">
        <v>197</v>
      </c>
      <c r="D6" s="60" t="s">
        <v>171</v>
      </c>
      <c r="E6" s="61" t="s">
        <v>15</v>
      </c>
      <c r="F6" s="92">
        <v>24864</v>
      </c>
      <c r="G6" s="61" t="s">
        <v>174</v>
      </c>
      <c r="H6" s="63" t="s">
        <v>23</v>
      </c>
      <c r="I6" s="60" t="s">
        <v>419</v>
      </c>
      <c r="K6" s="83" t="s">
        <v>177</v>
      </c>
      <c r="L6" s="84">
        <f>COUNTIFS(A4:A211,3)</f>
        <v>69</v>
      </c>
    </row>
    <row r="7" spans="1:12" ht="13.15" x14ac:dyDescent="0.4">
      <c r="A7" s="91" t="s">
        <v>19</v>
      </c>
      <c r="B7" s="61" t="s">
        <v>200</v>
      </c>
      <c r="C7" s="61" t="s">
        <v>201</v>
      </c>
      <c r="D7" s="60" t="s">
        <v>171</v>
      </c>
      <c r="E7" s="61" t="s">
        <v>10</v>
      </c>
      <c r="F7" s="92">
        <v>33516</v>
      </c>
      <c r="G7" s="61" t="s">
        <v>178</v>
      </c>
      <c r="H7" s="63" t="s">
        <v>131</v>
      </c>
      <c r="I7" s="60" t="s">
        <v>419</v>
      </c>
      <c r="K7" s="83" t="s">
        <v>179</v>
      </c>
      <c r="L7" s="84">
        <f>COUNTIFS(A4:A211,"4-A")</f>
        <v>30</v>
      </c>
    </row>
    <row r="8" spans="1:12" ht="13.15" x14ac:dyDescent="0.4">
      <c r="A8" s="91" t="s">
        <v>19</v>
      </c>
      <c r="B8" s="62" t="s">
        <v>202</v>
      </c>
      <c r="C8" s="62" t="s">
        <v>203</v>
      </c>
      <c r="D8" s="60" t="s">
        <v>171</v>
      </c>
      <c r="E8" s="61" t="s">
        <v>20</v>
      </c>
      <c r="F8" s="92">
        <v>23540</v>
      </c>
      <c r="G8" s="61" t="s">
        <v>174</v>
      </c>
      <c r="H8" s="63" t="s">
        <v>37</v>
      </c>
      <c r="I8" s="60" t="s">
        <v>419</v>
      </c>
      <c r="K8" s="83" t="s">
        <v>180</v>
      </c>
      <c r="L8" s="84">
        <f>COUNTIFS(A4:A211,"4-B")</f>
        <v>1</v>
      </c>
    </row>
    <row r="9" spans="1:12" ht="13.15" x14ac:dyDescent="0.4">
      <c r="A9" s="91" t="s">
        <v>19</v>
      </c>
      <c r="B9" s="62" t="s">
        <v>420</v>
      </c>
      <c r="C9" s="62" t="s">
        <v>237</v>
      </c>
      <c r="D9" s="60" t="s">
        <v>171</v>
      </c>
      <c r="E9" s="61" t="s">
        <v>10</v>
      </c>
      <c r="F9" s="92">
        <v>27771</v>
      </c>
      <c r="G9" s="61" t="s">
        <v>172</v>
      </c>
      <c r="H9" s="63" t="s">
        <v>421</v>
      </c>
      <c r="I9" s="60" t="s">
        <v>419</v>
      </c>
      <c r="K9" s="83" t="s">
        <v>181</v>
      </c>
      <c r="L9" s="84">
        <f>COUNTIFS(A4:A211,"FE")</f>
        <v>11</v>
      </c>
    </row>
    <row r="10" spans="1:12" ht="13.15" x14ac:dyDescent="0.4">
      <c r="A10" s="91" t="s">
        <v>19</v>
      </c>
      <c r="B10" s="62" t="s">
        <v>422</v>
      </c>
      <c r="C10" s="62" t="s">
        <v>381</v>
      </c>
      <c r="D10" s="60" t="s">
        <v>171</v>
      </c>
      <c r="E10" s="61" t="s">
        <v>17</v>
      </c>
      <c r="F10" s="92">
        <v>24636</v>
      </c>
      <c r="G10" s="61" t="s">
        <v>174</v>
      </c>
      <c r="H10" s="63" t="s">
        <v>44</v>
      </c>
      <c r="I10" s="60" t="s">
        <v>419</v>
      </c>
      <c r="K10" s="83" t="s">
        <v>182</v>
      </c>
      <c r="L10" s="84">
        <f>COUNTIFS(A4:A211,"JE")</f>
        <v>3</v>
      </c>
    </row>
    <row r="11" spans="1:12" ht="13.15" x14ac:dyDescent="0.4">
      <c r="A11" s="91" t="s">
        <v>19</v>
      </c>
      <c r="B11" s="62" t="s">
        <v>383</v>
      </c>
      <c r="C11" s="62" t="s">
        <v>382</v>
      </c>
      <c r="D11" s="60" t="s">
        <v>171</v>
      </c>
      <c r="E11" s="61" t="s">
        <v>17</v>
      </c>
      <c r="F11" s="92">
        <v>28802</v>
      </c>
      <c r="G11" s="61" t="s">
        <v>172</v>
      </c>
      <c r="H11" s="63" t="s">
        <v>47</v>
      </c>
      <c r="I11" s="60" t="s">
        <v>419</v>
      </c>
      <c r="K11" s="83"/>
      <c r="L11" s="84"/>
    </row>
    <row r="12" spans="1:12" ht="13.15" x14ac:dyDescent="0.4">
      <c r="A12" s="98" t="s">
        <v>19</v>
      </c>
      <c r="B12" s="62" t="s">
        <v>384</v>
      </c>
      <c r="C12" s="62" t="s">
        <v>235</v>
      </c>
      <c r="D12" s="60" t="s">
        <v>171</v>
      </c>
      <c r="E12" s="61" t="s">
        <v>10</v>
      </c>
      <c r="F12" s="92">
        <v>29475</v>
      </c>
      <c r="G12" s="61" t="s">
        <v>176</v>
      </c>
      <c r="H12" s="63" t="s">
        <v>48</v>
      </c>
      <c r="I12" s="60" t="s">
        <v>419</v>
      </c>
      <c r="K12" s="77" t="s">
        <v>183</v>
      </c>
      <c r="L12" s="90">
        <f>SUM(L4:L10)</f>
        <v>177</v>
      </c>
    </row>
    <row r="13" spans="1:12" x14ac:dyDescent="0.35">
      <c r="A13" s="98" t="s">
        <v>19</v>
      </c>
      <c r="B13" s="62" t="s">
        <v>204</v>
      </c>
      <c r="C13" s="62" t="s">
        <v>205</v>
      </c>
      <c r="D13" s="60" t="s">
        <v>171</v>
      </c>
      <c r="E13" s="61" t="s">
        <v>10</v>
      </c>
      <c r="F13" s="92">
        <v>28893</v>
      </c>
      <c r="G13" s="61" t="s">
        <v>172</v>
      </c>
      <c r="H13" s="63" t="s">
        <v>50</v>
      </c>
      <c r="I13" s="60" t="s">
        <v>419</v>
      </c>
    </row>
    <row r="14" spans="1:12" x14ac:dyDescent="0.35">
      <c r="A14" s="91" t="s">
        <v>19</v>
      </c>
      <c r="B14" s="61" t="s">
        <v>206</v>
      </c>
      <c r="C14" s="61" t="s">
        <v>207</v>
      </c>
      <c r="D14" s="60" t="s">
        <v>171</v>
      </c>
      <c r="E14" s="61" t="s">
        <v>3</v>
      </c>
      <c r="F14" s="92">
        <v>26305</v>
      </c>
      <c r="G14" s="61" t="s">
        <v>172</v>
      </c>
      <c r="H14" s="63" t="s">
        <v>128</v>
      </c>
      <c r="I14" s="60" t="s">
        <v>419</v>
      </c>
    </row>
    <row r="15" spans="1:12" x14ac:dyDescent="0.35">
      <c r="A15" s="91" t="s">
        <v>19</v>
      </c>
      <c r="B15" s="61" t="s">
        <v>209</v>
      </c>
      <c r="C15" s="61" t="s">
        <v>210</v>
      </c>
      <c r="D15" s="60" t="s">
        <v>171</v>
      </c>
      <c r="E15" s="61" t="s">
        <v>3</v>
      </c>
      <c r="F15" s="92">
        <v>32578</v>
      </c>
      <c r="G15" s="61" t="s">
        <v>176</v>
      </c>
      <c r="H15" s="63" t="s">
        <v>53</v>
      </c>
      <c r="I15" s="60" t="s">
        <v>419</v>
      </c>
    </row>
    <row r="16" spans="1:12" x14ac:dyDescent="0.35">
      <c r="A16" s="91" t="s">
        <v>19</v>
      </c>
      <c r="B16" s="61" t="s">
        <v>214</v>
      </c>
      <c r="C16" s="61" t="s">
        <v>205</v>
      </c>
      <c r="D16" s="60" t="s">
        <v>171</v>
      </c>
      <c r="E16" s="61" t="s">
        <v>20</v>
      </c>
      <c r="F16" s="92">
        <v>26519</v>
      </c>
      <c r="G16" s="61" t="s">
        <v>172</v>
      </c>
      <c r="H16" s="63" t="s">
        <v>64</v>
      </c>
      <c r="I16" s="60" t="s">
        <v>419</v>
      </c>
    </row>
    <row r="17" spans="1:9" x14ac:dyDescent="0.35">
      <c r="A17" s="91" t="s">
        <v>19</v>
      </c>
      <c r="B17" s="61" t="s">
        <v>215</v>
      </c>
      <c r="C17" s="61" t="s">
        <v>197</v>
      </c>
      <c r="D17" s="60" t="s">
        <v>171</v>
      </c>
      <c r="E17" s="61" t="s">
        <v>20</v>
      </c>
      <c r="F17" s="92">
        <v>27301</v>
      </c>
      <c r="G17" s="61" t="s">
        <v>172</v>
      </c>
      <c r="H17" s="63" t="s">
        <v>65</v>
      </c>
      <c r="I17" s="60" t="s">
        <v>419</v>
      </c>
    </row>
    <row r="18" spans="1:9" x14ac:dyDescent="0.35">
      <c r="A18" s="91" t="s">
        <v>19</v>
      </c>
      <c r="B18" s="61" t="s">
        <v>216</v>
      </c>
      <c r="C18" s="61" t="s">
        <v>217</v>
      </c>
      <c r="D18" s="60" t="s">
        <v>171</v>
      </c>
      <c r="E18" s="61" t="s">
        <v>20</v>
      </c>
      <c r="F18" s="92">
        <v>25286</v>
      </c>
      <c r="G18" s="61" t="s">
        <v>174</v>
      </c>
      <c r="H18" s="63" t="s">
        <v>68</v>
      </c>
      <c r="I18" s="60" t="s">
        <v>419</v>
      </c>
    </row>
    <row r="19" spans="1:9" x14ac:dyDescent="0.35">
      <c r="A19" s="91" t="s">
        <v>19</v>
      </c>
      <c r="B19" s="61" t="s">
        <v>218</v>
      </c>
      <c r="C19" s="61" t="s">
        <v>219</v>
      </c>
      <c r="D19" s="60" t="s">
        <v>171</v>
      </c>
      <c r="E19" s="61" t="s">
        <v>3</v>
      </c>
      <c r="F19" s="92">
        <v>33534</v>
      </c>
      <c r="G19" s="61" t="s">
        <v>178</v>
      </c>
      <c r="H19" s="63" t="s">
        <v>72</v>
      </c>
      <c r="I19" s="60" t="s">
        <v>419</v>
      </c>
    </row>
    <row r="20" spans="1:9" x14ac:dyDescent="0.35">
      <c r="A20" s="91" t="s">
        <v>19</v>
      </c>
      <c r="B20" s="61" t="s">
        <v>220</v>
      </c>
      <c r="C20" s="61" t="s">
        <v>221</v>
      </c>
      <c r="D20" s="60" t="s">
        <v>171</v>
      </c>
      <c r="E20" s="61" t="s">
        <v>15</v>
      </c>
      <c r="F20" s="92">
        <v>29495</v>
      </c>
      <c r="G20" s="61" t="s">
        <v>176</v>
      </c>
      <c r="H20" s="63" t="s">
        <v>74</v>
      </c>
      <c r="I20" s="60" t="s">
        <v>419</v>
      </c>
    </row>
    <row r="21" spans="1:9" x14ac:dyDescent="0.35">
      <c r="A21" s="91">
        <v>1</v>
      </c>
      <c r="B21" s="61" t="s">
        <v>519</v>
      </c>
      <c r="C21" s="61" t="s">
        <v>256</v>
      </c>
      <c r="D21" s="60" t="s">
        <v>171</v>
      </c>
      <c r="E21" s="61" t="s">
        <v>17</v>
      </c>
      <c r="F21" s="92">
        <v>29645</v>
      </c>
      <c r="G21" s="61" t="s">
        <v>176</v>
      </c>
      <c r="H21" s="63" t="s">
        <v>530</v>
      </c>
      <c r="I21" s="60">
        <v>2019</v>
      </c>
    </row>
    <row r="22" spans="1:9" x14ac:dyDescent="0.35">
      <c r="A22" s="91" t="s">
        <v>19</v>
      </c>
      <c r="B22" s="61" t="s">
        <v>222</v>
      </c>
      <c r="C22" s="61" t="s">
        <v>205</v>
      </c>
      <c r="D22" s="60" t="s">
        <v>171</v>
      </c>
      <c r="E22" s="61" t="s">
        <v>62</v>
      </c>
      <c r="F22" s="92">
        <v>26383</v>
      </c>
      <c r="G22" s="61" t="s">
        <v>172</v>
      </c>
      <c r="H22" s="63" t="s">
        <v>76</v>
      </c>
      <c r="I22" s="60" t="s">
        <v>419</v>
      </c>
    </row>
    <row r="23" spans="1:9" x14ac:dyDescent="0.35">
      <c r="A23" s="91" t="s">
        <v>19</v>
      </c>
      <c r="B23" s="61" t="s">
        <v>223</v>
      </c>
      <c r="C23" s="61" t="s">
        <v>224</v>
      </c>
      <c r="D23" s="60" t="s">
        <v>171</v>
      </c>
      <c r="E23" s="61" t="s">
        <v>15</v>
      </c>
      <c r="F23" s="92">
        <v>32790</v>
      </c>
      <c r="G23" s="61" t="s">
        <v>176</v>
      </c>
      <c r="H23" s="63" t="s">
        <v>81</v>
      </c>
      <c r="I23" s="60" t="s">
        <v>419</v>
      </c>
    </row>
    <row r="24" spans="1:9" x14ac:dyDescent="0.35">
      <c r="A24" s="98" t="s">
        <v>19</v>
      </c>
      <c r="B24" s="62" t="s">
        <v>225</v>
      </c>
      <c r="C24" s="62" t="s">
        <v>226</v>
      </c>
      <c r="D24" s="60" t="s">
        <v>171</v>
      </c>
      <c r="E24" s="61" t="s">
        <v>3</v>
      </c>
      <c r="F24" s="92">
        <v>25886</v>
      </c>
      <c r="G24" s="61" t="s">
        <v>172</v>
      </c>
      <c r="H24" s="63" t="s">
        <v>82</v>
      </c>
      <c r="I24" s="60" t="s">
        <v>419</v>
      </c>
    </row>
    <row r="25" spans="1:9" x14ac:dyDescent="0.35">
      <c r="A25" s="91" t="s">
        <v>19</v>
      </c>
      <c r="B25" s="61" t="s">
        <v>227</v>
      </c>
      <c r="C25" s="61" t="s">
        <v>207</v>
      </c>
      <c r="D25" s="60" t="s">
        <v>171</v>
      </c>
      <c r="E25" s="61" t="s">
        <v>3</v>
      </c>
      <c r="F25" s="92">
        <v>30821</v>
      </c>
      <c r="G25" s="61" t="s">
        <v>176</v>
      </c>
      <c r="H25" s="63" t="s">
        <v>83</v>
      </c>
      <c r="I25" s="60" t="s">
        <v>419</v>
      </c>
    </row>
    <row r="26" spans="1:9" x14ac:dyDescent="0.35">
      <c r="A26" s="91" t="s">
        <v>19</v>
      </c>
      <c r="B26" s="62" t="s">
        <v>542</v>
      </c>
      <c r="C26" s="62" t="s">
        <v>541</v>
      </c>
      <c r="D26" s="60" t="s">
        <v>171</v>
      </c>
      <c r="E26" s="61" t="s">
        <v>6</v>
      </c>
      <c r="F26" s="92">
        <v>30895</v>
      </c>
      <c r="G26" s="61" t="s">
        <v>176</v>
      </c>
      <c r="H26" s="63" t="s">
        <v>94</v>
      </c>
      <c r="I26" s="60" t="s">
        <v>419</v>
      </c>
    </row>
    <row r="27" spans="1:9" x14ac:dyDescent="0.35">
      <c r="A27" s="91">
        <v>1</v>
      </c>
      <c r="B27" s="61" t="s">
        <v>230</v>
      </c>
      <c r="C27" s="61" t="s">
        <v>231</v>
      </c>
      <c r="D27" s="60" t="s">
        <v>171</v>
      </c>
      <c r="E27" s="61" t="s">
        <v>20</v>
      </c>
      <c r="F27" s="92">
        <v>30193</v>
      </c>
      <c r="G27" s="61" t="s">
        <v>176</v>
      </c>
      <c r="H27" s="63" t="s">
        <v>95</v>
      </c>
      <c r="I27" s="60" t="s">
        <v>419</v>
      </c>
    </row>
    <row r="28" spans="1:9" x14ac:dyDescent="0.35">
      <c r="A28" s="91">
        <v>1</v>
      </c>
      <c r="B28" s="61" t="s">
        <v>232</v>
      </c>
      <c r="C28" s="61" t="s">
        <v>233</v>
      </c>
      <c r="D28" s="60" t="s">
        <v>171</v>
      </c>
      <c r="E28" s="61" t="s">
        <v>29</v>
      </c>
      <c r="F28" s="92">
        <v>28662</v>
      </c>
      <c r="G28" s="61" t="s">
        <v>172</v>
      </c>
      <c r="H28" s="63" t="s">
        <v>132</v>
      </c>
      <c r="I28" s="60">
        <v>2019</v>
      </c>
    </row>
    <row r="29" spans="1:9" x14ac:dyDescent="0.35">
      <c r="A29" s="98" t="s">
        <v>19</v>
      </c>
      <c r="B29" s="62" t="s">
        <v>234</v>
      </c>
      <c r="C29" s="62" t="s">
        <v>235</v>
      </c>
      <c r="D29" s="60" t="s">
        <v>171</v>
      </c>
      <c r="E29" s="61" t="s">
        <v>10</v>
      </c>
      <c r="F29" s="92">
        <v>27738</v>
      </c>
      <c r="G29" s="61" t="s">
        <v>172</v>
      </c>
      <c r="H29" s="63" t="s">
        <v>99</v>
      </c>
      <c r="I29" s="64" t="s">
        <v>419</v>
      </c>
    </row>
    <row r="30" spans="1:9" x14ac:dyDescent="0.35">
      <c r="A30" s="98" t="s">
        <v>19</v>
      </c>
      <c r="B30" s="62" t="s">
        <v>236</v>
      </c>
      <c r="C30" s="62" t="s">
        <v>237</v>
      </c>
      <c r="D30" s="60" t="s">
        <v>171</v>
      </c>
      <c r="E30" s="61" t="s">
        <v>17</v>
      </c>
      <c r="F30" s="92">
        <v>27720</v>
      </c>
      <c r="G30" s="61" t="s">
        <v>172</v>
      </c>
      <c r="H30" s="63" t="s">
        <v>104</v>
      </c>
      <c r="I30" s="64" t="s">
        <v>419</v>
      </c>
    </row>
    <row r="31" spans="1:9" x14ac:dyDescent="0.35">
      <c r="A31" s="91" t="s">
        <v>19</v>
      </c>
      <c r="B31" s="61" t="s">
        <v>238</v>
      </c>
      <c r="C31" s="61" t="s">
        <v>239</v>
      </c>
      <c r="D31" s="60" t="s">
        <v>171</v>
      </c>
      <c r="E31" s="61" t="s">
        <v>3</v>
      </c>
      <c r="F31" s="92">
        <v>33812</v>
      </c>
      <c r="G31" s="61" t="s">
        <v>178</v>
      </c>
      <c r="H31" s="63" t="s">
        <v>105</v>
      </c>
      <c r="I31" s="60" t="s">
        <v>419</v>
      </c>
    </row>
    <row r="32" spans="1:9" x14ac:dyDescent="0.35">
      <c r="A32" s="91" t="s">
        <v>19</v>
      </c>
      <c r="B32" s="61" t="s">
        <v>240</v>
      </c>
      <c r="C32" s="61" t="s">
        <v>241</v>
      </c>
      <c r="D32" s="60" t="s">
        <v>171</v>
      </c>
      <c r="E32" s="61" t="s">
        <v>20</v>
      </c>
      <c r="F32" s="92">
        <v>22932</v>
      </c>
      <c r="G32" s="61" t="s">
        <v>174</v>
      </c>
      <c r="H32" s="63" t="s">
        <v>113</v>
      </c>
      <c r="I32" s="60" t="s">
        <v>419</v>
      </c>
    </row>
    <row r="33" spans="1:9" x14ac:dyDescent="0.35">
      <c r="A33" s="91" t="s">
        <v>19</v>
      </c>
      <c r="B33" s="61" t="s">
        <v>242</v>
      </c>
      <c r="C33" s="61" t="s">
        <v>243</v>
      </c>
      <c r="D33" s="60" t="s">
        <v>171</v>
      </c>
      <c r="E33" s="61" t="s">
        <v>3</v>
      </c>
      <c r="F33" s="92">
        <v>28296</v>
      </c>
      <c r="G33" s="61" t="s">
        <v>172</v>
      </c>
      <c r="H33" s="63" t="s">
        <v>115</v>
      </c>
      <c r="I33" s="60" t="s">
        <v>419</v>
      </c>
    </row>
    <row r="34" spans="1:9" x14ac:dyDescent="0.35">
      <c r="A34" s="91" t="s">
        <v>19</v>
      </c>
      <c r="B34" s="61" t="s">
        <v>244</v>
      </c>
      <c r="C34" s="61" t="s">
        <v>245</v>
      </c>
      <c r="D34" s="60" t="s">
        <v>171</v>
      </c>
      <c r="E34" s="61" t="s">
        <v>10</v>
      </c>
      <c r="F34" s="92">
        <v>34127</v>
      </c>
      <c r="G34" s="61" t="s">
        <v>178</v>
      </c>
      <c r="H34" s="63" t="s">
        <v>117</v>
      </c>
      <c r="I34" s="60" t="s">
        <v>419</v>
      </c>
    </row>
    <row r="35" spans="1:9" x14ac:dyDescent="0.35">
      <c r="A35" s="91" t="s">
        <v>12</v>
      </c>
      <c r="B35" s="61" t="s">
        <v>246</v>
      </c>
      <c r="C35" s="61" t="s">
        <v>213</v>
      </c>
      <c r="D35" s="60" t="s">
        <v>171</v>
      </c>
      <c r="E35" s="61" t="s">
        <v>10</v>
      </c>
      <c r="F35" s="92">
        <v>31431</v>
      </c>
      <c r="G35" s="61" t="s">
        <v>176</v>
      </c>
      <c r="H35" s="63" t="s">
        <v>11</v>
      </c>
      <c r="I35" s="60" t="s">
        <v>419</v>
      </c>
    </row>
    <row r="36" spans="1:9" x14ac:dyDescent="0.35">
      <c r="A36" s="91" t="s">
        <v>12</v>
      </c>
      <c r="B36" s="61" t="s">
        <v>247</v>
      </c>
      <c r="C36" s="61" t="s">
        <v>248</v>
      </c>
      <c r="D36" s="60" t="s">
        <v>171</v>
      </c>
      <c r="E36" s="61" t="s">
        <v>6</v>
      </c>
      <c r="F36" s="92">
        <v>36762</v>
      </c>
      <c r="G36" s="61" t="s">
        <v>184</v>
      </c>
      <c r="H36" s="63" t="s">
        <v>13</v>
      </c>
      <c r="I36" s="60" t="s">
        <v>419</v>
      </c>
    </row>
    <row r="37" spans="1:9" x14ac:dyDescent="0.35">
      <c r="A37" s="98" t="s">
        <v>12</v>
      </c>
      <c r="B37" s="62" t="s">
        <v>249</v>
      </c>
      <c r="C37" s="62" t="s">
        <v>243</v>
      </c>
      <c r="D37" s="60" t="s">
        <v>171</v>
      </c>
      <c r="E37" s="61" t="s">
        <v>17</v>
      </c>
      <c r="F37" s="92">
        <v>27272</v>
      </c>
      <c r="G37" s="61" t="s">
        <v>172</v>
      </c>
      <c r="H37" s="63" t="s">
        <v>18</v>
      </c>
      <c r="I37" s="60" t="s">
        <v>419</v>
      </c>
    </row>
    <row r="38" spans="1:9" x14ac:dyDescent="0.35">
      <c r="A38" s="98" t="s">
        <v>12</v>
      </c>
      <c r="B38" s="62" t="s">
        <v>251</v>
      </c>
      <c r="C38" s="62" t="s">
        <v>252</v>
      </c>
      <c r="D38" s="60" t="s">
        <v>171</v>
      </c>
      <c r="E38" s="61" t="s">
        <v>10</v>
      </c>
      <c r="F38" s="92">
        <v>21479</v>
      </c>
      <c r="G38" s="61" t="s">
        <v>185</v>
      </c>
      <c r="H38" s="63" t="s">
        <v>24</v>
      </c>
      <c r="I38" s="60" t="s">
        <v>419</v>
      </c>
    </row>
    <row r="39" spans="1:9" x14ac:dyDescent="0.35">
      <c r="A39" s="98">
        <v>2</v>
      </c>
      <c r="B39" s="62" t="s">
        <v>198</v>
      </c>
      <c r="C39" s="62" t="s">
        <v>199</v>
      </c>
      <c r="D39" s="60" t="s">
        <v>171</v>
      </c>
      <c r="E39" s="61" t="s">
        <v>15</v>
      </c>
      <c r="F39" s="92">
        <v>29591</v>
      </c>
      <c r="G39" s="61" t="s">
        <v>176</v>
      </c>
      <c r="H39" s="63" t="s">
        <v>28</v>
      </c>
      <c r="I39" s="64" t="s">
        <v>419</v>
      </c>
    </row>
    <row r="40" spans="1:9" x14ac:dyDescent="0.35">
      <c r="A40" s="91" t="s">
        <v>12</v>
      </c>
      <c r="B40" s="61" t="s">
        <v>253</v>
      </c>
      <c r="C40" s="61" t="s">
        <v>254</v>
      </c>
      <c r="D40" s="60" t="s">
        <v>171</v>
      </c>
      <c r="E40" s="61" t="s">
        <v>9</v>
      </c>
      <c r="F40" s="92">
        <v>21880</v>
      </c>
      <c r="G40" s="61" t="s">
        <v>185</v>
      </c>
      <c r="H40" s="63" t="s">
        <v>30</v>
      </c>
      <c r="I40" s="60" t="s">
        <v>419</v>
      </c>
    </row>
    <row r="41" spans="1:9" x14ac:dyDescent="0.35">
      <c r="A41" s="98" t="s">
        <v>12</v>
      </c>
      <c r="B41" s="62" t="s">
        <v>257</v>
      </c>
      <c r="C41" s="62" t="s">
        <v>258</v>
      </c>
      <c r="D41" s="60" t="s">
        <v>171</v>
      </c>
      <c r="E41" s="61" t="s">
        <v>20</v>
      </c>
      <c r="F41" s="92">
        <v>29733</v>
      </c>
      <c r="G41" s="61" t="s">
        <v>176</v>
      </c>
      <c r="H41" s="63" t="s">
        <v>33</v>
      </c>
      <c r="I41" s="60" t="s">
        <v>419</v>
      </c>
    </row>
    <row r="42" spans="1:9" x14ac:dyDescent="0.35">
      <c r="A42" s="91" t="s">
        <v>12</v>
      </c>
      <c r="B42" s="61" t="s">
        <v>423</v>
      </c>
      <c r="C42" s="61" t="s">
        <v>424</v>
      </c>
      <c r="D42" s="60" t="s">
        <v>171</v>
      </c>
      <c r="E42" s="61" t="s">
        <v>9</v>
      </c>
      <c r="F42" s="92">
        <v>36524</v>
      </c>
      <c r="G42" s="61" t="s">
        <v>178</v>
      </c>
      <c r="H42" s="110" t="s">
        <v>425</v>
      </c>
      <c r="I42" s="60" t="s">
        <v>419</v>
      </c>
    </row>
    <row r="43" spans="1:9" x14ac:dyDescent="0.35">
      <c r="A43" s="98" t="s">
        <v>12</v>
      </c>
      <c r="B43" s="62" t="s">
        <v>259</v>
      </c>
      <c r="C43" s="62" t="s">
        <v>260</v>
      </c>
      <c r="D43" s="60" t="s">
        <v>171</v>
      </c>
      <c r="E43" s="61" t="s">
        <v>20</v>
      </c>
      <c r="F43" s="92">
        <v>26264</v>
      </c>
      <c r="G43" s="61" t="s">
        <v>172</v>
      </c>
      <c r="H43" s="63" t="s">
        <v>38</v>
      </c>
      <c r="I43" s="60" t="s">
        <v>419</v>
      </c>
    </row>
    <row r="44" spans="1:9" x14ac:dyDescent="0.35">
      <c r="A44" s="91" t="s">
        <v>12</v>
      </c>
      <c r="B44" s="61" t="s">
        <v>259</v>
      </c>
      <c r="C44" s="61" t="s">
        <v>261</v>
      </c>
      <c r="D44" s="60" t="s">
        <v>171</v>
      </c>
      <c r="E44" s="61" t="s">
        <v>20</v>
      </c>
      <c r="F44" s="92">
        <v>37207</v>
      </c>
      <c r="G44" s="61" t="s">
        <v>184</v>
      </c>
      <c r="H44" s="63" t="s">
        <v>124</v>
      </c>
      <c r="I44" s="60" t="s">
        <v>419</v>
      </c>
    </row>
    <row r="45" spans="1:9" x14ac:dyDescent="0.35">
      <c r="A45" s="91">
        <v>2</v>
      </c>
      <c r="B45" s="61" t="s">
        <v>520</v>
      </c>
      <c r="C45" s="61" t="s">
        <v>499</v>
      </c>
      <c r="D45" s="60" t="s">
        <v>171</v>
      </c>
      <c r="E45" s="61" t="s">
        <v>20</v>
      </c>
      <c r="F45" s="92">
        <v>31950</v>
      </c>
      <c r="G45" s="61" t="s">
        <v>176</v>
      </c>
      <c r="H45" s="63" t="s">
        <v>531</v>
      </c>
      <c r="I45" s="60">
        <v>2019</v>
      </c>
    </row>
    <row r="46" spans="1:9" x14ac:dyDescent="0.35">
      <c r="A46" s="98" t="s">
        <v>12</v>
      </c>
      <c r="B46" s="62" t="s">
        <v>266</v>
      </c>
      <c r="C46" s="62" t="s">
        <v>224</v>
      </c>
      <c r="D46" s="60" t="s">
        <v>171</v>
      </c>
      <c r="E46" s="61" t="s">
        <v>17</v>
      </c>
      <c r="F46" s="92">
        <v>33085</v>
      </c>
      <c r="G46" s="61" t="s">
        <v>178</v>
      </c>
      <c r="H46" s="63" t="s">
        <v>55</v>
      </c>
      <c r="I46" s="60" t="s">
        <v>419</v>
      </c>
    </row>
    <row r="47" spans="1:9" x14ac:dyDescent="0.35">
      <c r="A47" s="91" t="s">
        <v>12</v>
      </c>
      <c r="B47" s="61" t="s">
        <v>267</v>
      </c>
      <c r="C47" s="61" t="s">
        <v>268</v>
      </c>
      <c r="D47" s="60" t="s">
        <v>171</v>
      </c>
      <c r="E47" s="61" t="s">
        <v>6</v>
      </c>
      <c r="F47" s="92">
        <v>37084</v>
      </c>
      <c r="G47" s="61" t="s">
        <v>184</v>
      </c>
      <c r="H47" s="63" t="s">
        <v>57</v>
      </c>
      <c r="I47" s="60" t="s">
        <v>419</v>
      </c>
    </row>
    <row r="48" spans="1:9" x14ac:dyDescent="0.35">
      <c r="A48" s="91">
        <v>2</v>
      </c>
      <c r="B48" s="61" t="s">
        <v>426</v>
      </c>
      <c r="C48" s="61" t="s">
        <v>427</v>
      </c>
      <c r="D48" s="60" t="s">
        <v>171</v>
      </c>
      <c r="E48" s="61" t="s">
        <v>15</v>
      </c>
      <c r="F48" s="92">
        <v>32294</v>
      </c>
      <c r="G48" s="61" t="s">
        <v>176</v>
      </c>
      <c r="H48" s="63" t="s">
        <v>428</v>
      </c>
      <c r="I48" s="60" t="s">
        <v>419</v>
      </c>
    </row>
    <row r="49" spans="1:9" x14ac:dyDescent="0.35">
      <c r="A49" s="91">
        <v>2</v>
      </c>
      <c r="B49" s="61" t="s">
        <v>521</v>
      </c>
      <c r="C49" s="61" t="s">
        <v>269</v>
      </c>
      <c r="D49" s="60" t="s">
        <v>171</v>
      </c>
      <c r="E49" s="61" t="s">
        <v>62</v>
      </c>
      <c r="F49" s="92">
        <v>30584</v>
      </c>
      <c r="G49" s="61" t="s">
        <v>176</v>
      </c>
      <c r="H49" s="63" t="s">
        <v>532</v>
      </c>
      <c r="I49" s="60">
        <v>2019</v>
      </c>
    </row>
    <row r="50" spans="1:9" x14ac:dyDescent="0.35">
      <c r="A50" s="98" t="s">
        <v>12</v>
      </c>
      <c r="B50" s="62" t="s">
        <v>386</v>
      </c>
      <c r="C50" s="62" t="s">
        <v>385</v>
      </c>
      <c r="D50" s="60" t="s">
        <v>171</v>
      </c>
      <c r="E50" s="61" t="s">
        <v>9</v>
      </c>
      <c r="F50" s="92">
        <v>23176</v>
      </c>
      <c r="G50" s="61" t="s">
        <v>174</v>
      </c>
      <c r="H50" s="63" t="s">
        <v>133</v>
      </c>
      <c r="I50" s="60" t="s">
        <v>419</v>
      </c>
    </row>
    <row r="51" spans="1:9" x14ac:dyDescent="0.35">
      <c r="A51" s="91">
        <v>2</v>
      </c>
      <c r="B51" s="61" t="s">
        <v>270</v>
      </c>
      <c r="C51" s="61" t="s">
        <v>271</v>
      </c>
      <c r="D51" s="60" t="s">
        <v>171</v>
      </c>
      <c r="E51" s="61" t="s">
        <v>20</v>
      </c>
      <c r="F51" s="92">
        <v>37123</v>
      </c>
      <c r="G51" s="61" t="s">
        <v>184</v>
      </c>
      <c r="H51" s="63" t="s">
        <v>533</v>
      </c>
      <c r="I51" s="60">
        <v>2019</v>
      </c>
    </row>
    <row r="52" spans="1:9" x14ac:dyDescent="0.35">
      <c r="A52" s="98" t="s">
        <v>12</v>
      </c>
      <c r="B52" s="62" t="s">
        <v>272</v>
      </c>
      <c r="C52" s="62" t="s">
        <v>235</v>
      </c>
      <c r="D52" s="60" t="s">
        <v>171</v>
      </c>
      <c r="E52" s="61" t="s">
        <v>20</v>
      </c>
      <c r="F52" s="92">
        <v>29048</v>
      </c>
      <c r="G52" s="61" t="s">
        <v>172</v>
      </c>
      <c r="H52" s="63" t="s">
        <v>77</v>
      </c>
      <c r="I52" s="60" t="s">
        <v>419</v>
      </c>
    </row>
    <row r="53" spans="1:9" x14ac:dyDescent="0.35">
      <c r="A53" s="98" t="s">
        <v>12</v>
      </c>
      <c r="B53" s="62" t="s">
        <v>273</v>
      </c>
      <c r="C53" s="62" t="s">
        <v>275</v>
      </c>
      <c r="D53" s="60" t="s">
        <v>171</v>
      </c>
      <c r="E53" s="61" t="s">
        <v>15</v>
      </c>
      <c r="F53" s="92">
        <v>26833</v>
      </c>
      <c r="G53" s="61" t="s">
        <v>172</v>
      </c>
      <c r="H53" s="63" t="s">
        <v>80</v>
      </c>
      <c r="I53" s="64" t="s">
        <v>419</v>
      </c>
    </row>
    <row r="54" spans="1:9" x14ac:dyDescent="0.35">
      <c r="A54" s="99">
        <v>2</v>
      </c>
      <c r="B54" s="100" t="s">
        <v>553</v>
      </c>
      <c r="C54" s="101" t="s">
        <v>233</v>
      </c>
      <c r="D54" s="102" t="s">
        <v>171</v>
      </c>
      <c r="E54" s="77" t="s">
        <v>3</v>
      </c>
      <c r="F54" s="94">
        <v>29178</v>
      </c>
      <c r="G54" s="77" t="s">
        <v>172</v>
      </c>
      <c r="H54" s="105" t="s">
        <v>554</v>
      </c>
      <c r="I54" s="88">
        <v>2019</v>
      </c>
    </row>
    <row r="55" spans="1:9" x14ac:dyDescent="0.35">
      <c r="A55" s="91">
        <v>2</v>
      </c>
      <c r="B55" s="62" t="s">
        <v>390</v>
      </c>
      <c r="C55" s="62" t="s">
        <v>197</v>
      </c>
      <c r="D55" s="60" t="s">
        <v>171</v>
      </c>
      <c r="E55" s="61" t="s">
        <v>9</v>
      </c>
      <c r="F55" s="92">
        <v>26487</v>
      </c>
      <c r="G55" s="61" t="s">
        <v>172</v>
      </c>
      <c r="H55" s="63" t="s">
        <v>87</v>
      </c>
      <c r="I55" s="60" t="s">
        <v>419</v>
      </c>
    </row>
    <row r="56" spans="1:9" x14ac:dyDescent="0.35">
      <c r="A56" s="98">
        <v>2</v>
      </c>
      <c r="B56" s="62" t="s">
        <v>429</v>
      </c>
      <c r="C56" s="62" t="s">
        <v>430</v>
      </c>
      <c r="D56" s="60" t="s">
        <v>171</v>
      </c>
      <c r="E56" s="61" t="s">
        <v>3</v>
      </c>
      <c r="F56" s="92">
        <v>32677</v>
      </c>
      <c r="G56" s="61" t="s">
        <v>176</v>
      </c>
      <c r="H56" s="63" t="s">
        <v>431</v>
      </c>
      <c r="I56" s="64">
        <v>2019</v>
      </c>
    </row>
    <row r="57" spans="1:9" x14ac:dyDescent="0.35">
      <c r="A57" s="91" t="s">
        <v>12</v>
      </c>
      <c r="B57" s="61" t="s">
        <v>276</v>
      </c>
      <c r="C57" s="61" t="s">
        <v>269</v>
      </c>
      <c r="D57" s="60" t="s">
        <v>171</v>
      </c>
      <c r="E57" s="61" t="s">
        <v>17</v>
      </c>
      <c r="F57" s="92">
        <v>27615</v>
      </c>
      <c r="G57" s="61" t="s">
        <v>172</v>
      </c>
      <c r="H57" s="63" t="s">
        <v>90</v>
      </c>
      <c r="I57" s="60" t="s">
        <v>419</v>
      </c>
    </row>
    <row r="58" spans="1:9" x14ac:dyDescent="0.35">
      <c r="A58" s="98" t="s">
        <v>12</v>
      </c>
      <c r="B58" s="62" t="s">
        <v>277</v>
      </c>
      <c r="C58" s="62" t="s">
        <v>258</v>
      </c>
      <c r="D58" s="60" t="s">
        <v>171</v>
      </c>
      <c r="E58" s="61" t="s">
        <v>6</v>
      </c>
      <c r="F58" s="92">
        <v>32807</v>
      </c>
      <c r="G58" s="61" t="s">
        <v>176</v>
      </c>
      <c r="H58" s="63" t="s">
        <v>91</v>
      </c>
      <c r="I58" s="60" t="s">
        <v>419</v>
      </c>
    </row>
    <row r="59" spans="1:9" x14ac:dyDescent="0.35">
      <c r="A59" s="91" t="s">
        <v>12</v>
      </c>
      <c r="B59" s="61" t="s">
        <v>432</v>
      </c>
      <c r="C59" s="61" t="s">
        <v>260</v>
      </c>
      <c r="D59" s="60" t="s">
        <v>171</v>
      </c>
      <c r="E59" s="61" t="s">
        <v>20</v>
      </c>
      <c r="F59" s="92">
        <v>25349</v>
      </c>
      <c r="G59" s="61" t="s">
        <v>174</v>
      </c>
      <c r="H59" s="63" t="s">
        <v>137</v>
      </c>
      <c r="I59" s="60" t="s">
        <v>419</v>
      </c>
    </row>
    <row r="60" spans="1:9" x14ac:dyDescent="0.35">
      <c r="A60" s="98" t="s">
        <v>12</v>
      </c>
      <c r="B60" s="62" t="s">
        <v>278</v>
      </c>
      <c r="C60" s="62" t="s">
        <v>274</v>
      </c>
      <c r="D60" s="60" t="s">
        <v>171</v>
      </c>
      <c r="E60" s="61" t="s">
        <v>20</v>
      </c>
      <c r="F60" s="92">
        <v>30439</v>
      </c>
      <c r="G60" s="61" t="s">
        <v>176</v>
      </c>
      <c r="H60" s="63" t="s">
        <v>98</v>
      </c>
      <c r="I60" s="64" t="s">
        <v>419</v>
      </c>
    </row>
    <row r="61" spans="1:9" x14ac:dyDescent="0.35">
      <c r="A61" s="98" t="s">
        <v>12</v>
      </c>
      <c r="B61" s="62" t="s">
        <v>279</v>
      </c>
      <c r="C61" s="62" t="s">
        <v>265</v>
      </c>
      <c r="D61" s="60" t="s">
        <v>171</v>
      </c>
      <c r="E61" s="61" t="s">
        <v>17</v>
      </c>
      <c r="F61" s="92">
        <v>26119</v>
      </c>
      <c r="G61" s="61" t="s">
        <v>172</v>
      </c>
      <c r="H61" s="63" t="s">
        <v>102</v>
      </c>
      <c r="I61" s="64" t="s">
        <v>419</v>
      </c>
    </row>
    <row r="62" spans="1:9" x14ac:dyDescent="0.35">
      <c r="A62" s="91" t="s">
        <v>12</v>
      </c>
      <c r="B62" s="61" t="s">
        <v>280</v>
      </c>
      <c r="C62" s="61" t="s">
        <v>281</v>
      </c>
      <c r="D62" s="60" t="s">
        <v>171</v>
      </c>
      <c r="E62" s="61" t="s">
        <v>17</v>
      </c>
      <c r="F62" s="92">
        <v>29448</v>
      </c>
      <c r="G62" s="61" t="s">
        <v>176</v>
      </c>
      <c r="H62" s="63" t="s">
        <v>103</v>
      </c>
      <c r="I62" s="60" t="s">
        <v>419</v>
      </c>
    </row>
    <row r="63" spans="1:9" x14ac:dyDescent="0.35">
      <c r="A63" s="98">
        <v>2</v>
      </c>
      <c r="B63" s="62" t="s">
        <v>433</v>
      </c>
      <c r="C63" s="62" t="s">
        <v>265</v>
      </c>
      <c r="D63" s="60" t="s">
        <v>171</v>
      </c>
      <c r="E63" s="61" t="s">
        <v>29</v>
      </c>
      <c r="F63" s="92">
        <v>28445</v>
      </c>
      <c r="G63" s="61" t="s">
        <v>172</v>
      </c>
      <c r="H63" s="63" t="s">
        <v>106</v>
      </c>
      <c r="I63" s="60">
        <v>2019</v>
      </c>
    </row>
    <row r="64" spans="1:9" x14ac:dyDescent="0.35">
      <c r="A64" s="91" t="s">
        <v>12</v>
      </c>
      <c r="B64" s="61" t="s">
        <v>282</v>
      </c>
      <c r="C64" s="61" t="s">
        <v>258</v>
      </c>
      <c r="D64" s="60" t="s">
        <v>171</v>
      </c>
      <c r="E64" s="61" t="s">
        <v>3</v>
      </c>
      <c r="F64" s="92">
        <v>32206</v>
      </c>
      <c r="G64" s="61" t="s">
        <v>176</v>
      </c>
      <c r="H64" s="63" t="s">
        <v>114</v>
      </c>
      <c r="I64" s="60" t="s">
        <v>419</v>
      </c>
    </row>
    <row r="65" spans="1:9" x14ac:dyDescent="0.35">
      <c r="A65" s="91" t="s">
        <v>12</v>
      </c>
      <c r="B65" s="61" t="s">
        <v>283</v>
      </c>
      <c r="C65" s="61" t="s">
        <v>284</v>
      </c>
      <c r="D65" s="60" t="s">
        <v>171</v>
      </c>
      <c r="E65" s="61" t="s">
        <v>17</v>
      </c>
      <c r="F65" s="92">
        <v>24310</v>
      </c>
      <c r="G65" s="61" t="s">
        <v>174</v>
      </c>
      <c r="H65" s="63" t="s">
        <v>134</v>
      </c>
      <c r="I65" s="60" t="s">
        <v>419</v>
      </c>
    </row>
    <row r="66" spans="1:9" x14ac:dyDescent="0.35">
      <c r="A66" s="98" t="s">
        <v>12</v>
      </c>
      <c r="B66" s="62" t="s">
        <v>286</v>
      </c>
      <c r="C66" s="62" t="s">
        <v>287</v>
      </c>
      <c r="D66" s="60" t="s">
        <v>171</v>
      </c>
      <c r="E66" s="61" t="s">
        <v>20</v>
      </c>
      <c r="F66" s="92">
        <v>25657</v>
      </c>
      <c r="G66" s="61" t="s">
        <v>172</v>
      </c>
      <c r="H66" s="63" t="s">
        <v>121</v>
      </c>
      <c r="I66" s="60" t="s">
        <v>419</v>
      </c>
    </row>
    <row r="67" spans="1:9" x14ac:dyDescent="0.35">
      <c r="A67" s="98">
        <v>3</v>
      </c>
      <c r="B67" s="62" t="s">
        <v>434</v>
      </c>
      <c r="C67" s="62" t="s">
        <v>370</v>
      </c>
      <c r="D67" s="60" t="s">
        <v>171</v>
      </c>
      <c r="E67" s="61" t="s">
        <v>17</v>
      </c>
      <c r="F67" s="92">
        <v>22510</v>
      </c>
      <c r="G67" s="61" t="s">
        <v>174</v>
      </c>
      <c r="H67" s="63" t="s">
        <v>435</v>
      </c>
      <c r="I67" s="64">
        <v>2019</v>
      </c>
    </row>
    <row r="68" spans="1:9" x14ac:dyDescent="0.35">
      <c r="A68" s="98" t="s">
        <v>8</v>
      </c>
      <c r="B68" s="62" t="s">
        <v>379</v>
      </c>
      <c r="C68" s="62" t="s">
        <v>380</v>
      </c>
      <c r="D68" s="60" t="s">
        <v>171</v>
      </c>
      <c r="E68" s="61" t="s">
        <v>6</v>
      </c>
      <c r="F68" s="92">
        <v>37620</v>
      </c>
      <c r="G68" s="61" t="s">
        <v>184</v>
      </c>
      <c r="H68" s="63" t="s">
        <v>130</v>
      </c>
      <c r="I68" s="60" t="s">
        <v>419</v>
      </c>
    </row>
    <row r="69" spans="1:9" x14ac:dyDescent="0.35">
      <c r="A69" s="91" t="s">
        <v>8</v>
      </c>
      <c r="B69" s="61" t="s">
        <v>288</v>
      </c>
      <c r="C69" s="61" t="s">
        <v>289</v>
      </c>
      <c r="D69" s="60" t="s">
        <v>171</v>
      </c>
      <c r="E69" s="61" t="s">
        <v>15</v>
      </c>
      <c r="F69" s="92">
        <v>36915</v>
      </c>
      <c r="G69" s="61" t="s">
        <v>184</v>
      </c>
      <c r="H69" s="63" t="s">
        <v>16</v>
      </c>
      <c r="I69" s="60" t="s">
        <v>419</v>
      </c>
    </row>
    <row r="70" spans="1:9" x14ac:dyDescent="0.35">
      <c r="A70" s="91" t="s">
        <v>8</v>
      </c>
      <c r="B70" s="61" t="s">
        <v>436</v>
      </c>
      <c r="C70" s="61" t="s">
        <v>437</v>
      </c>
      <c r="D70" s="60" t="s">
        <v>171</v>
      </c>
      <c r="E70" s="61" t="s">
        <v>123</v>
      </c>
      <c r="F70" s="92">
        <v>29534</v>
      </c>
      <c r="G70" s="61" t="s">
        <v>176</v>
      </c>
      <c r="H70" s="63" t="s">
        <v>438</v>
      </c>
      <c r="I70" s="60" t="s">
        <v>419</v>
      </c>
    </row>
    <row r="71" spans="1:9" x14ac:dyDescent="0.35">
      <c r="A71" s="91">
        <v>3</v>
      </c>
      <c r="B71" s="61" t="s">
        <v>290</v>
      </c>
      <c r="C71" s="61" t="s">
        <v>291</v>
      </c>
      <c r="D71" s="60" t="s">
        <v>171</v>
      </c>
      <c r="E71" s="61" t="s">
        <v>10</v>
      </c>
      <c r="F71" s="92">
        <v>29186</v>
      </c>
      <c r="G71" s="61" t="s">
        <v>172</v>
      </c>
      <c r="H71" s="63" t="s">
        <v>22</v>
      </c>
      <c r="I71" s="60">
        <v>2019</v>
      </c>
    </row>
    <row r="72" spans="1:9" x14ac:dyDescent="0.35">
      <c r="A72" s="91" t="s">
        <v>8</v>
      </c>
      <c r="B72" s="61" t="s">
        <v>292</v>
      </c>
      <c r="C72" s="61" t="s">
        <v>197</v>
      </c>
      <c r="D72" s="60" t="s">
        <v>171</v>
      </c>
      <c r="E72" s="61" t="s">
        <v>3</v>
      </c>
      <c r="F72" s="92">
        <v>27342</v>
      </c>
      <c r="G72" s="61" t="s">
        <v>172</v>
      </c>
      <c r="H72" s="63" t="s">
        <v>25</v>
      </c>
      <c r="I72" s="60" t="s">
        <v>419</v>
      </c>
    </row>
    <row r="73" spans="1:9" x14ac:dyDescent="0.35">
      <c r="A73" s="98" t="s">
        <v>8</v>
      </c>
      <c r="B73" s="62" t="s">
        <v>293</v>
      </c>
      <c r="C73" s="62" t="s">
        <v>294</v>
      </c>
      <c r="D73" s="60" t="s">
        <v>171</v>
      </c>
      <c r="E73" s="61" t="s">
        <v>10</v>
      </c>
      <c r="F73" s="92">
        <v>33792</v>
      </c>
      <c r="G73" s="61" t="s">
        <v>178</v>
      </c>
      <c r="H73" s="63" t="s">
        <v>26</v>
      </c>
      <c r="I73" s="64" t="s">
        <v>419</v>
      </c>
    </row>
    <row r="74" spans="1:9" x14ac:dyDescent="0.35">
      <c r="A74" s="91" t="s">
        <v>8</v>
      </c>
      <c r="B74" s="61" t="s">
        <v>439</v>
      </c>
      <c r="C74" s="61" t="s">
        <v>440</v>
      </c>
      <c r="D74" s="60" t="s">
        <v>171</v>
      </c>
      <c r="E74" s="61" t="s">
        <v>15</v>
      </c>
      <c r="F74" s="92">
        <v>23066</v>
      </c>
      <c r="G74" s="61" t="s">
        <v>174</v>
      </c>
      <c r="H74" s="63" t="s">
        <v>441</v>
      </c>
      <c r="I74" s="60" t="s">
        <v>419</v>
      </c>
    </row>
    <row r="75" spans="1:9" x14ac:dyDescent="0.35">
      <c r="A75" s="98" t="s">
        <v>8</v>
      </c>
      <c r="B75" s="62" t="s">
        <v>442</v>
      </c>
      <c r="C75" s="62" t="s">
        <v>212</v>
      </c>
      <c r="D75" s="60" t="s">
        <v>171</v>
      </c>
      <c r="E75" s="61" t="s">
        <v>15</v>
      </c>
      <c r="F75" s="92">
        <v>36843</v>
      </c>
      <c r="G75" s="61" t="s">
        <v>184</v>
      </c>
      <c r="H75" s="63" t="s">
        <v>443</v>
      </c>
      <c r="I75" s="60" t="s">
        <v>419</v>
      </c>
    </row>
    <row r="76" spans="1:9" x14ac:dyDescent="0.35">
      <c r="A76" s="91" t="s">
        <v>8</v>
      </c>
      <c r="B76" s="61" t="s">
        <v>255</v>
      </c>
      <c r="C76" s="61" t="s">
        <v>256</v>
      </c>
      <c r="D76" s="60" t="s">
        <v>171</v>
      </c>
      <c r="E76" s="61" t="s">
        <v>15</v>
      </c>
      <c r="F76" s="92">
        <v>29227</v>
      </c>
      <c r="G76" s="61" t="s">
        <v>176</v>
      </c>
      <c r="H76" s="63" t="s">
        <v>31</v>
      </c>
      <c r="I76" s="60" t="s">
        <v>419</v>
      </c>
    </row>
    <row r="77" spans="1:9" x14ac:dyDescent="0.35">
      <c r="A77" s="91" t="s">
        <v>8</v>
      </c>
      <c r="B77" s="61" t="s">
        <v>295</v>
      </c>
      <c r="C77" s="61" t="s">
        <v>207</v>
      </c>
      <c r="D77" s="60" t="s">
        <v>171</v>
      </c>
      <c r="E77" s="61" t="s">
        <v>17</v>
      </c>
      <c r="F77" s="92">
        <v>22443</v>
      </c>
      <c r="G77" s="61" t="s">
        <v>174</v>
      </c>
      <c r="H77" s="63" t="s">
        <v>32</v>
      </c>
      <c r="I77" s="60" t="s">
        <v>419</v>
      </c>
    </row>
    <row r="78" spans="1:9" x14ac:dyDescent="0.35">
      <c r="A78" s="91" t="s">
        <v>8</v>
      </c>
      <c r="B78" s="61" t="s">
        <v>296</v>
      </c>
      <c r="C78" s="61" t="s">
        <v>297</v>
      </c>
      <c r="D78" s="60" t="s">
        <v>171</v>
      </c>
      <c r="E78" s="61" t="s">
        <v>20</v>
      </c>
      <c r="F78" s="92">
        <v>21357</v>
      </c>
      <c r="G78" s="61" t="s">
        <v>185</v>
      </c>
      <c r="H78" s="63" t="s">
        <v>416</v>
      </c>
      <c r="I78" s="60" t="s">
        <v>419</v>
      </c>
    </row>
    <row r="79" spans="1:9" x14ac:dyDescent="0.35">
      <c r="A79" s="91" t="s">
        <v>8</v>
      </c>
      <c r="B79" s="61" t="s">
        <v>444</v>
      </c>
      <c r="C79" s="61" t="s">
        <v>445</v>
      </c>
      <c r="D79" s="60" t="s">
        <v>171</v>
      </c>
      <c r="E79" s="61" t="s">
        <v>9</v>
      </c>
      <c r="F79" s="92">
        <v>33072</v>
      </c>
      <c r="G79" s="61" t="s">
        <v>178</v>
      </c>
      <c r="H79" s="63" t="s">
        <v>446</v>
      </c>
      <c r="I79" s="60" t="s">
        <v>419</v>
      </c>
    </row>
    <row r="80" spans="1:9" x14ac:dyDescent="0.35">
      <c r="A80" s="91">
        <v>3</v>
      </c>
      <c r="B80" s="95" t="s">
        <v>550</v>
      </c>
      <c r="C80" s="95" t="s">
        <v>549</v>
      </c>
      <c r="D80" s="60" t="s">
        <v>171</v>
      </c>
      <c r="E80" s="61" t="s">
        <v>547</v>
      </c>
      <c r="F80" s="92">
        <v>27687</v>
      </c>
      <c r="G80" s="61" t="s">
        <v>172</v>
      </c>
      <c r="H80" s="63" t="s">
        <v>548</v>
      </c>
      <c r="I80" s="60">
        <v>2019</v>
      </c>
    </row>
    <row r="81" spans="1:9" x14ac:dyDescent="0.35">
      <c r="A81" s="91">
        <v>3</v>
      </c>
      <c r="B81" s="61" t="s">
        <v>299</v>
      </c>
      <c r="C81" s="61" t="s">
        <v>300</v>
      </c>
      <c r="D81" s="60" t="s">
        <v>171</v>
      </c>
      <c r="E81" s="61" t="s">
        <v>10</v>
      </c>
      <c r="F81" s="92">
        <v>29748</v>
      </c>
      <c r="G81" s="61" t="s">
        <v>176</v>
      </c>
      <c r="H81" s="63" t="s">
        <v>551</v>
      </c>
      <c r="I81" s="60" t="s">
        <v>419</v>
      </c>
    </row>
    <row r="82" spans="1:9" x14ac:dyDescent="0.35">
      <c r="A82" s="91" t="s">
        <v>8</v>
      </c>
      <c r="B82" s="61" t="s">
        <v>301</v>
      </c>
      <c r="C82" s="61" t="s">
        <v>199</v>
      </c>
      <c r="D82" s="60" t="s">
        <v>171</v>
      </c>
      <c r="E82" s="61" t="s">
        <v>29</v>
      </c>
      <c r="F82" s="92">
        <v>30068</v>
      </c>
      <c r="G82" s="61" t="s">
        <v>176</v>
      </c>
      <c r="H82" s="63" t="s">
        <v>39</v>
      </c>
      <c r="I82" s="60" t="s">
        <v>419</v>
      </c>
    </row>
    <row r="83" spans="1:9" x14ac:dyDescent="0.35">
      <c r="A83" s="91" t="s">
        <v>8</v>
      </c>
      <c r="B83" s="61" t="s">
        <v>302</v>
      </c>
      <c r="C83" s="61" t="s">
        <v>284</v>
      </c>
      <c r="D83" s="60" t="s">
        <v>171</v>
      </c>
      <c r="E83" s="61" t="s">
        <v>17</v>
      </c>
      <c r="F83" s="92">
        <v>26292</v>
      </c>
      <c r="G83" s="61" t="s">
        <v>172</v>
      </c>
      <c r="H83" s="63" t="s">
        <v>40</v>
      </c>
      <c r="I83" s="60" t="s">
        <v>419</v>
      </c>
    </row>
    <row r="84" spans="1:9" x14ac:dyDescent="0.35">
      <c r="A84" s="98" t="s">
        <v>8</v>
      </c>
      <c r="B84" s="62" t="s">
        <v>447</v>
      </c>
      <c r="C84" s="62" t="s">
        <v>448</v>
      </c>
      <c r="D84" s="60" t="s">
        <v>171</v>
      </c>
      <c r="E84" s="61" t="s">
        <v>9</v>
      </c>
      <c r="F84" s="92">
        <v>36919</v>
      </c>
      <c r="G84" s="61" t="s">
        <v>184</v>
      </c>
      <c r="H84" s="75" t="s">
        <v>449</v>
      </c>
      <c r="I84" s="60" t="s">
        <v>419</v>
      </c>
    </row>
    <row r="85" spans="1:9" x14ac:dyDescent="0.35">
      <c r="A85" s="98" t="s">
        <v>8</v>
      </c>
      <c r="B85" s="62" t="s">
        <v>389</v>
      </c>
      <c r="C85" s="62" t="s">
        <v>388</v>
      </c>
      <c r="D85" s="60" t="s">
        <v>171</v>
      </c>
      <c r="E85" s="61" t="s">
        <v>41</v>
      </c>
      <c r="F85" s="92">
        <v>29561</v>
      </c>
      <c r="G85" s="61" t="s">
        <v>176</v>
      </c>
      <c r="H85" s="63" t="s">
        <v>46</v>
      </c>
      <c r="I85" s="60" t="s">
        <v>419</v>
      </c>
    </row>
    <row r="86" spans="1:9" x14ac:dyDescent="0.35">
      <c r="A86" s="91" t="s">
        <v>8</v>
      </c>
      <c r="B86" s="61" t="s">
        <v>450</v>
      </c>
      <c r="C86" s="61" t="s">
        <v>243</v>
      </c>
      <c r="D86" s="60" t="s">
        <v>171</v>
      </c>
      <c r="E86" s="61" t="s">
        <v>123</v>
      </c>
      <c r="F86" s="92">
        <v>27217</v>
      </c>
      <c r="G86" s="61" t="s">
        <v>172</v>
      </c>
      <c r="H86" s="63" t="s">
        <v>451</v>
      </c>
      <c r="I86" s="60" t="s">
        <v>419</v>
      </c>
    </row>
    <row r="87" spans="1:9" x14ac:dyDescent="0.35">
      <c r="A87" s="91" t="s">
        <v>8</v>
      </c>
      <c r="B87" s="61" t="s">
        <v>450</v>
      </c>
      <c r="C87" s="61" t="s">
        <v>452</v>
      </c>
      <c r="D87" s="60" t="s">
        <v>171</v>
      </c>
      <c r="E87" s="61" t="s">
        <v>123</v>
      </c>
      <c r="F87" s="92">
        <v>37484</v>
      </c>
      <c r="G87" s="61" t="s">
        <v>184</v>
      </c>
      <c r="H87" s="63" t="s">
        <v>453</v>
      </c>
      <c r="I87" s="60" t="s">
        <v>419</v>
      </c>
    </row>
    <row r="88" spans="1:9" x14ac:dyDescent="0.35">
      <c r="A88" s="91">
        <v>3</v>
      </c>
      <c r="B88" s="61" t="s">
        <v>262</v>
      </c>
      <c r="C88" s="61" t="s">
        <v>263</v>
      </c>
      <c r="D88" s="60" t="s">
        <v>171</v>
      </c>
      <c r="E88" s="61" t="s">
        <v>10</v>
      </c>
      <c r="F88" s="92">
        <v>31177</v>
      </c>
      <c r="G88" s="61" t="s">
        <v>176</v>
      </c>
      <c r="H88" s="63" t="s">
        <v>49</v>
      </c>
      <c r="I88" s="64" t="s">
        <v>419</v>
      </c>
    </row>
    <row r="89" spans="1:9" x14ac:dyDescent="0.35">
      <c r="A89" s="98" t="s">
        <v>8</v>
      </c>
      <c r="B89" s="62" t="s">
        <v>303</v>
      </c>
      <c r="C89" s="62" t="s">
        <v>304</v>
      </c>
      <c r="D89" s="60" t="s">
        <v>171</v>
      </c>
      <c r="E89" s="61" t="s">
        <v>3</v>
      </c>
      <c r="F89" s="92">
        <v>25921</v>
      </c>
      <c r="G89" s="61" t="s">
        <v>172</v>
      </c>
      <c r="H89" s="63" t="s">
        <v>51</v>
      </c>
      <c r="I89" s="60" t="s">
        <v>419</v>
      </c>
    </row>
    <row r="90" spans="1:9" x14ac:dyDescent="0.35">
      <c r="A90" s="91" t="s">
        <v>8</v>
      </c>
      <c r="B90" s="61" t="s">
        <v>264</v>
      </c>
      <c r="C90" s="61" t="s">
        <v>265</v>
      </c>
      <c r="D90" s="60" t="s">
        <v>171</v>
      </c>
      <c r="E90" s="61" t="s">
        <v>123</v>
      </c>
      <c r="F90" s="92">
        <v>25900</v>
      </c>
      <c r="G90" s="61" t="s">
        <v>172</v>
      </c>
      <c r="H90" s="63" t="s">
        <v>139</v>
      </c>
      <c r="I90" s="60">
        <v>2019</v>
      </c>
    </row>
    <row r="91" spans="1:9" x14ac:dyDescent="0.35">
      <c r="A91" s="91">
        <v>3</v>
      </c>
      <c r="B91" s="61" t="s">
        <v>454</v>
      </c>
      <c r="C91" s="61" t="s">
        <v>265</v>
      </c>
      <c r="D91" s="60" t="s">
        <v>171</v>
      </c>
      <c r="E91" s="61" t="s">
        <v>17</v>
      </c>
      <c r="F91" s="92">
        <v>29243</v>
      </c>
      <c r="G91" s="61" t="s">
        <v>176</v>
      </c>
      <c r="H91" s="63" t="s">
        <v>455</v>
      </c>
      <c r="I91" s="60" t="s">
        <v>419</v>
      </c>
    </row>
    <row r="92" spans="1:9" x14ac:dyDescent="0.35">
      <c r="A92" s="91" t="s">
        <v>8</v>
      </c>
      <c r="B92" s="62" t="s">
        <v>456</v>
      </c>
      <c r="C92" s="62" t="s">
        <v>243</v>
      </c>
      <c r="D92" s="60" t="s">
        <v>171</v>
      </c>
      <c r="E92" s="61" t="s">
        <v>10</v>
      </c>
      <c r="F92" s="92">
        <v>25210</v>
      </c>
      <c r="G92" s="61" t="s">
        <v>174</v>
      </c>
      <c r="H92" s="63" t="s">
        <v>457</v>
      </c>
      <c r="I92" s="60" t="s">
        <v>419</v>
      </c>
    </row>
    <row r="93" spans="1:9" x14ac:dyDescent="0.35">
      <c r="A93" s="91" t="s">
        <v>8</v>
      </c>
      <c r="B93" s="62" t="s">
        <v>456</v>
      </c>
      <c r="C93" s="62" t="s">
        <v>212</v>
      </c>
      <c r="D93" s="60" t="s">
        <v>171</v>
      </c>
      <c r="E93" s="61" t="s">
        <v>62</v>
      </c>
      <c r="F93" s="92">
        <v>26802</v>
      </c>
      <c r="G93" s="61" t="s">
        <v>172</v>
      </c>
      <c r="H93" s="63" t="s">
        <v>458</v>
      </c>
      <c r="I93" s="60" t="s">
        <v>419</v>
      </c>
    </row>
    <row r="94" spans="1:9" x14ac:dyDescent="0.35">
      <c r="A94" s="91" t="s">
        <v>8</v>
      </c>
      <c r="B94" s="61" t="s">
        <v>305</v>
      </c>
      <c r="C94" s="61" t="s">
        <v>306</v>
      </c>
      <c r="D94" s="60" t="s">
        <v>171</v>
      </c>
      <c r="E94" s="61" t="s">
        <v>15</v>
      </c>
      <c r="F94" s="92">
        <v>22556</v>
      </c>
      <c r="G94" s="61" t="s">
        <v>174</v>
      </c>
      <c r="H94" s="63" t="s">
        <v>52</v>
      </c>
      <c r="I94" s="60" t="s">
        <v>419</v>
      </c>
    </row>
    <row r="95" spans="1:9" x14ac:dyDescent="0.35">
      <c r="A95" s="91" t="s">
        <v>8</v>
      </c>
      <c r="B95" s="61" t="s">
        <v>459</v>
      </c>
      <c r="C95" s="61" t="s">
        <v>460</v>
      </c>
      <c r="D95" s="60" t="s">
        <v>171</v>
      </c>
      <c r="E95" s="61" t="s">
        <v>15</v>
      </c>
      <c r="F95" s="92">
        <v>33136</v>
      </c>
      <c r="G95" s="61" t="s">
        <v>178</v>
      </c>
      <c r="H95" s="63" t="s">
        <v>461</v>
      </c>
      <c r="I95" s="60" t="s">
        <v>419</v>
      </c>
    </row>
    <row r="96" spans="1:9" x14ac:dyDescent="0.35">
      <c r="A96" s="91" t="s">
        <v>8</v>
      </c>
      <c r="B96" s="61" t="s">
        <v>307</v>
      </c>
      <c r="C96" s="61" t="s">
        <v>197</v>
      </c>
      <c r="D96" s="60" t="s">
        <v>171</v>
      </c>
      <c r="E96" s="61" t="s">
        <v>3</v>
      </c>
      <c r="F96" s="92">
        <v>21797</v>
      </c>
      <c r="G96" s="61" t="s">
        <v>185</v>
      </c>
      <c r="H96" s="63" t="s">
        <v>135</v>
      </c>
      <c r="I96" s="64">
        <v>2019</v>
      </c>
    </row>
    <row r="97" spans="1:9" x14ac:dyDescent="0.35">
      <c r="A97" s="99">
        <v>3</v>
      </c>
      <c r="B97" s="100" t="s">
        <v>556</v>
      </c>
      <c r="C97" s="101" t="s">
        <v>557</v>
      </c>
      <c r="D97" s="108" t="s">
        <v>171</v>
      </c>
      <c r="E97" s="107" t="s">
        <v>3</v>
      </c>
      <c r="F97" s="106">
        <v>31347</v>
      </c>
      <c r="G97" s="109" t="s">
        <v>176</v>
      </c>
      <c r="H97" s="110" t="s">
        <v>555</v>
      </c>
      <c r="I97" s="108">
        <v>2019</v>
      </c>
    </row>
    <row r="98" spans="1:9" x14ac:dyDescent="0.35">
      <c r="A98" s="98">
        <v>3</v>
      </c>
      <c r="B98" s="62" t="s">
        <v>522</v>
      </c>
      <c r="C98" s="62" t="s">
        <v>523</v>
      </c>
      <c r="D98" s="60" t="s">
        <v>171</v>
      </c>
      <c r="E98" s="61" t="s">
        <v>9</v>
      </c>
      <c r="F98" s="92">
        <v>23572</v>
      </c>
      <c r="G98" s="61" t="s">
        <v>174</v>
      </c>
      <c r="H98" s="63" t="s">
        <v>534</v>
      </c>
      <c r="I98" s="60" t="s">
        <v>419</v>
      </c>
    </row>
    <row r="99" spans="1:9" x14ac:dyDescent="0.35">
      <c r="A99" s="91" t="s">
        <v>8</v>
      </c>
      <c r="B99" s="61" t="s">
        <v>462</v>
      </c>
      <c r="C99" s="61" t="s">
        <v>213</v>
      </c>
      <c r="D99" s="60" t="s">
        <v>171</v>
      </c>
      <c r="E99" s="61" t="s">
        <v>9</v>
      </c>
      <c r="F99" s="92">
        <v>26201</v>
      </c>
      <c r="G99" s="61" t="s">
        <v>172</v>
      </c>
      <c r="H99" s="63" t="s">
        <v>463</v>
      </c>
      <c r="I99" s="60" t="s">
        <v>419</v>
      </c>
    </row>
    <row r="100" spans="1:9" x14ac:dyDescent="0.35">
      <c r="A100" s="98">
        <v>3</v>
      </c>
      <c r="B100" s="62" t="s">
        <v>211</v>
      </c>
      <c r="C100" s="62" t="s">
        <v>212</v>
      </c>
      <c r="D100" s="60" t="s">
        <v>171</v>
      </c>
      <c r="E100" s="61" t="s">
        <v>20</v>
      </c>
      <c r="F100" s="92">
        <v>31335</v>
      </c>
      <c r="G100" s="61" t="s">
        <v>176</v>
      </c>
      <c r="H100" s="63" t="s">
        <v>138</v>
      </c>
      <c r="I100" s="64" t="s">
        <v>419</v>
      </c>
    </row>
    <row r="101" spans="1:9" x14ac:dyDescent="0.35">
      <c r="A101" s="98">
        <v>3</v>
      </c>
      <c r="B101" s="62" t="s">
        <v>464</v>
      </c>
      <c r="C101" s="62" t="s">
        <v>465</v>
      </c>
      <c r="D101" s="60" t="s">
        <v>171</v>
      </c>
      <c r="E101" s="61" t="s">
        <v>123</v>
      </c>
      <c r="F101" s="92">
        <v>34592</v>
      </c>
      <c r="G101" s="61" t="s">
        <v>178</v>
      </c>
      <c r="H101" s="63" t="s">
        <v>466</v>
      </c>
      <c r="I101" s="60">
        <v>2019</v>
      </c>
    </row>
    <row r="102" spans="1:9" x14ac:dyDescent="0.35">
      <c r="A102" s="91">
        <v>3</v>
      </c>
      <c r="B102" s="61" t="s">
        <v>310</v>
      </c>
      <c r="C102" s="61" t="s">
        <v>306</v>
      </c>
      <c r="D102" s="60" t="s">
        <v>171</v>
      </c>
      <c r="E102" s="61" t="s">
        <v>41</v>
      </c>
      <c r="F102" s="92">
        <v>20916</v>
      </c>
      <c r="G102" s="61" t="s">
        <v>185</v>
      </c>
      <c r="H102" s="63" t="s">
        <v>59</v>
      </c>
      <c r="I102" s="60" t="s">
        <v>419</v>
      </c>
    </row>
    <row r="103" spans="1:9" x14ac:dyDescent="0.35">
      <c r="A103" s="91" t="s">
        <v>8</v>
      </c>
      <c r="B103" s="61" t="s">
        <v>311</v>
      </c>
      <c r="C103" s="61" t="s">
        <v>226</v>
      </c>
      <c r="D103" s="60" t="s">
        <v>171</v>
      </c>
      <c r="E103" s="61" t="s">
        <v>29</v>
      </c>
      <c r="F103" s="92">
        <v>28489</v>
      </c>
      <c r="G103" s="61" t="s">
        <v>172</v>
      </c>
      <c r="H103" s="63" t="s">
        <v>60</v>
      </c>
      <c r="I103" s="64" t="s">
        <v>419</v>
      </c>
    </row>
    <row r="104" spans="1:9" x14ac:dyDescent="0.35">
      <c r="A104" s="98" t="s">
        <v>8</v>
      </c>
      <c r="B104" s="62" t="s">
        <v>312</v>
      </c>
      <c r="C104" s="62" t="s">
        <v>313</v>
      </c>
      <c r="D104" s="60" t="s">
        <v>171</v>
      </c>
      <c r="E104" s="61" t="s">
        <v>17</v>
      </c>
      <c r="F104" s="92">
        <v>29435</v>
      </c>
      <c r="G104" s="61" t="s">
        <v>176</v>
      </c>
      <c r="H104" s="63" t="s">
        <v>63</v>
      </c>
      <c r="I104" s="60" t="s">
        <v>419</v>
      </c>
    </row>
    <row r="105" spans="1:9" x14ac:dyDescent="0.35">
      <c r="A105" s="91" t="s">
        <v>8</v>
      </c>
      <c r="B105" s="61" t="s">
        <v>467</v>
      </c>
      <c r="C105" s="61" t="s">
        <v>468</v>
      </c>
      <c r="D105" s="60" t="s">
        <v>171</v>
      </c>
      <c r="E105" s="61" t="s">
        <v>6</v>
      </c>
      <c r="F105" s="92">
        <v>27783</v>
      </c>
      <c r="G105" s="61" t="s">
        <v>172</v>
      </c>
      <c r="H105" s="63" t="s">
        <v>469</v>
      </c>
      <c r="I105" s="60" t="s">
        <v>419</v>
      </c>
    </row>
    <row r="106" spans="1:9" x14ac:dyDescent="0.35">
      <c r="A106" s="91" t="s">
        <v>8</v>
      </c>
      <c r="B106" s="61" t="s">
        <v>314</v>
      </c>
      <c r="C106" s="61" t="s">
        <v>315</v>
      </c>
      <c r="D106" s="60" t="s">
        <v>171</v>
      </c>
      <c r="E106" s="61" t="s">
        <v>17</v>
      </c>
      <c r="F106" s="92">
        <v>25308</v>
      </c>
      <c r="G106" s="61" t="s">
        <v>174</v>
      </c>
      <c r="H106" s="63" t="s">
        <v>66</v>
      </c>
      <c r="I106" s="60" t="s">
        <v>419</v>
      </c>
    </row>
    <row r="107" spans="1:9" x14ac:dyDescent="0.35">
      <c r="A107" s="91" t="s">
        <v>8</v>
      </c>
      <c r="B107" s="61" t="s">
        <v>470</v>
      </c>
      <c r="C107" s="61" t="s">
        <v>471</v>
      </c>
      <c r="D107" s="60" t="s">
        <v>171</v>
      </c>
      <c r="E107" s="61" t="s">
        <v>9</v>
      </c>
      <c r="F107" s="92">
        <v>30919</v>
      </c>
      <c r="G107" s="61" t="s">
        <v>176</v>
      </c>
      <c r="H107" s="63" t="s">
        <v>472</v>
      </c>
      <c r="I107" s="60" t="s">
        <v>419</v>
      </c>
    </row>
    <row r="108" spans="1:9" x14ac:dyDescent="0.35">
      <c r="A108" s="91">
        <v>3</v>
      </c>
      <c r="B108" s="61" t="s">
        <v>316</v>
      </c>
      <c r="C108" s="61" t="s">
        <v>317</v>
      </c>
      <c r="D108" s="60" t="s">
        <v>171</v>
      </c>
      <c r="E108" s="61" t="s">
        <v>17</v>
      </c>
      <c r="F108" s="92">
        <v>28551</v>
      </c>
      <c r="G108" s="61" t="s">
        <v>172</v>
      </c>
      <c r="H108" s="63" t="s">
        <v>69</v>
      </c>
      <c r="I108" s="60">
        <v>2019</v>
      </c>
    </row>
    <row r="109" spans="1:9" x14ac:dyDescent="0.35">
      <c r="A109" s="98" t="s">
        <v>8</v>
      </c>
      <c r="B109" s="62" t="s">
        <v>318</v>
      </c>
      <c r="C109" s="62" t="s">
        <v>319</v>
      </c>
      <c r="D109" s="60" t="s">
        <v>171</v>
      </c>
      <c r="E109" s="61" t="s">
        <v>17</v>
      </c>
      <c r="F109" s="92">
        <v>32043</v>
      </c>
      <c r="G109" s="61" t="s">
        <v>176</v>
      </c>
      <c r="H109" s="63" t="s">
        <v>71</v>
      </c>
      <c r="I109" s="60" t="s">
        <v>419</v>
      </c>
    </row>
    <row r="110" spans="1:9" x14ac:dyDescent="0.35">
      <c r="A110" s="98" t="s">
        <v>8</v>
      </c>
      <c r="B110" s="62" t="s">
        <v>473</v>
      </c>
      <c r="C110" s="62" t="s">
        <v>474</v>
      </c>
      <c r="D110" s="60" t="s">
        <v>171</v>
      </c>
      <c r="E110" s="61" t="s">
        <v>15</v>
      </c>
      <c r="F110" s="92">
        <v>30297</v>
      </c>
      <c r="G110" s="61" t="s">
        <v>176</v>
      </c>
      <c r="H110" s="63" t="s">
        <v>475</v>
      </c>
      <c r="I110" s="60" t="s">
        <v>419</v>
      </c>
    </row>
    <row r="111" spans="1:9" x14ac:dyDescent="0.35">
      <c r="A111" s="91" t="s">
        <v>8</v>
      </c>
      <c r="B111" s="61" t="s">
        <v>320</v>
      </c>
      <c r="C111" s="61" t="s">
        <v>321</v>
      </c>
      <c r="D111" s="60" t="s">
        <v>171</v>
      </c>
      <c r="E111" s="61" t="s">
        <v>3</v>
      </c>
      <c r="F111" s="92">
        <v>31443</v>
      </c>
      <c r="G111" s="61" t="s">
        <v>176</v>
      </c>
      <c r="H111" s="63" t="s">
        <v>129</v>
      </c>
      <c r="I111" s="60" t="s">
        <v>419</v>
      </c>
    </row>
    <row r="112" spans="1:9" x14ac:dyDescent="0.35">
      <c r="A112" s="91" t="s">
        <v>8</v>
      </c>
      <c r="B112" s="61" t="s">
        <v>270</v>
      </c>
      <c r="C112" s="61" t="s">
        <v>322</v>
      </c>
      <c r="D112" s="60" t="s">
        <v>171</v>
      </c>
      <c r="E112" s="61" t="s">
        <v>20</v>
      </c>
      <c r="F112" s="92">
        <v>26306</v>
      </c>
      <c r="G112" s="61" t="s">
        <v>172</v>
      </c>
      <c r="H112" s="63" t="s">
        <v>126</v>
      </c>
      <c r="I112" s="60">
        <v>2019</v>
      </c>
    </row>
    <row r="113" spans="1:9" x14ac:dyDescent="0.35">
      <c r="A113" s="91">
        <v>3</v>
      </c>
      <c r="B113" s="61" t="s">
        <v>270</v>
      </c>
      <c r="C113" s="61" t="s">
        <v>323</v>
      </c>
      <c r="D113" s="60" t="s">
        <v>171</v>
      </c>
      <c r="E113" s="61" t="s">
        <v>20</v>
      </c>
      <c r="F113" s="92">
        <v>27351</v>
      </c>
      <c r="G113" s="61" t="s">
        <v>172</v>
      </c>
      <c r="H113" s="63" t="s">
        <v>535</v>
      </c>
      <c r="I113" s="60" t="s">
        <v>419</v>
      </c>
    </row>
    <row r="114" spans="1:9" x14ac:dyDescent="0.35">
      <c r="A114" s="91" t="s">
        <v>8</v>
      </c>
      <c r="B114" s="61" t="s">
        <v>324</v>
      </c>
      <c r="C114" s="61" t="s">
        <v>231</v>
      </c>
      <c r="D114" s="60" t="s">
        <v>171</v>
      </c>
      <c r="E114" s="61" t="s">
        <v>17</v>
      </c>
      <c r="F114" s="92">
        <v>25539</v>
      </c>
      <c r="G114" s="61" t="s">
        <v>174</v>
      </c>
      <c r="H114" s="63" t="s">
        <v>73</v>
      </c>
      <c r="I114" s="60" t="s">
        <v>419</v>
      </c>
    </row>
    <row r="115" spans="1:9" x14ac:dyDescent="0.35">
      <c r="A115" s="91" t="s">
        <v>8</v>
      </c>
      <c r="B115" s="61" t="s">
        <v>325</v>
      </c>
      <c r="C115" s="61" t="s">
        <v>326</v>
      </c>
      <c r="D115" s="60" t="s">
        <v>171</v>
      </c>
      <c r="E115" s="61" t="s">
        <v>17</v>
      </c>
      <c r="F115" s="92">
        <v>23099</v>
      </c>
      <c r="G115" s="61" t="s">
        <v>174</v>
      </c>
      <c r="H115" s="63" t="s">
        <v>75</v>
      </c>
      <c r="I115" s="60" t="s">
        <v>419</v>
      </c>
    </row>
    <row r="116" spans="1:9" x14ac:dyDescent="0.35">
      <c r="A116" s="98" t="s">
        <v>8</v>
      </c>
      <c r="B116" s="62" t="s">
        <v>273</v>
      </c>
      <c r="C116" s="62" t="s">
        <v>274</v>
      </c>
      <c r="D116" s="60" t="s">
        <v>171</v>
      </c>
      <c r="E116" s="61" t="s">
        <v>9</v>
      </c>
      <c r="F116" s="92">
        <v>31855</v>
      </c>
      <c r="G116" s="61" t="s">
        <v>176</v>
      </c>
      <c r="H116" s="63" t="s">
        <v>79</v>
      </c>
      <c r="I116" s="60" t="s">
        <v>419</v>
      </c>
    </row>
    <row r="117" spans="1:9" x14ac:dyDescent="0.35">
      <c r="A117" s="91" t="s">
        <v>8</v>
      </c>
      <c r="B117" s="61" t="s">
        <v>328</v>
      </c>
      <c r="C117" s="61" t="s">
        <v>199</v>
      </c>
      <c r="D117" s="60" t="s">
        <v>171</v>
      </c>
      <c r="E117" s="61" t="s">
        <v>17</v>
      </c>
      <c r="F117" s="92">
        <v>34248</v>
      </c>
      <c r="G117" s="61" t="s">
        <v>178</v>
      </c>
      <c r="H117" s="63" t="s">
        <v>89</v>
      </c>
      <c r="I117" s="60" t="s">
        <v>419</v>
      </c>
    </row>
    <row r="118" spans="1:9" x14ac:dyDescent="0.35">
      <c r="A118" s="91" t="s">
        <v>8</v>
      </c>
      <c r="B118" s="61" t="s">
        <v>478</v>
      </c>
      <c r="C118" s="61" t="s">
        <v>243</v>
      </c>
      <c r="D118" s="60" t="s">
        <v>171</v>
      </c>
      <c r="E118" s="61" t="s">
        <v>123</v>
      </c>
      <c r="F118" s="92">
        <v>26466</v>
      </c>
      <c r="G118" s="61" t="s">
        <v>172</v>
      </c>
      <c r="H118" s="63" t="s">
        <v>479</v>
      </c>
      <c r="I118" s="60" t="s">
        <v>419</v>
      </c>
    </row>
    <row r="119" spans="1:9" x14ac:dyDescent="0.35">
      <c r="A119" s="91" t="s">
        <v>8</v>
      </c>
      <c r="B119" s="61" t="s">
        <v>228</v>
      </c>
      <c r="C119" s="61" t="s">
        <v>329</v>
      </c>
      <c r="D119" s="60" t="s">
        <v>171</v>
      </c>
      <c r="E119" s="61" t="s">
        <v>17</v>
      </c>
      <c r="F119" s="92">
        <v>23296</v>
      </c>
      <c r="G119" s="61" t="s">
        <v>174</v>
      </c>
      <c r="H119" s="63" t="s">
        <v>92</v>
      </c>
      <c r="I119" s="64" t="s">
        <v>419</v>
      </c>
    </row>
    <row r="120" spans="1:9" x14ac:dyDescent="0.35">
      <c r="A120" s="98" t="s">
        <v>8</v>
      </c>
      <c r="B120" s="62" t="s">
        <v>228</v>
      </c>
      <c r="C120" s="62" t="s">
        <v>330</v>
      </c>
      <c r="D120" s="60" t="s">
        <v>171</v>
      </c>
      <c r="E120" s="61" t="s">
        <v>3</v>
      </c>
      <c r="F120" s="92">
        <v>32804</v>
      </c>
      <c r="G120" s="61" t="s">
        <v>176</v>
      </c>
      <c r="H120" s="63" t="s">
        <v>93</v>
      </c>
      <c r="I120" s="60" t="s">
        <v>419</v>
      </c>
    </row>
    <row r="121" spans="1:9" x14ac:dyDescent="0.35">
      <c r="A121" s="91" t="s">
        <v>8</v>
      </c>
      <c r="B121" s="61" t="s">
        <v>331</v>
      </c>
      <c r="C121" s="61" t="s">
        <v>332</v>
      </c>
      <c r="D121" s="60" t="s">
        <v>171</v>
      </c>
      <c r="E121" s="61" t="s">
        <v>10</v>
      </c>
      <c r="F121" s="92">
        <v>36625</v>
      </c>
      <c r="G121" s="61" t="s">
        <v>184</v>
      </c>
      <c r="H121" s="75" t="s">
        <v>96</v>
      </c>
      <c r="I121" s="60" t="s">
        <v>419</v>
      </c>
    </row>
    <row r="122" spans="1:9" x14ac:dyDescent="0.35">
      <c r="A122" s="98" t="s">
        <v>8</v>
      </c>
      <c r="B122" s="62" t="s">
        <v>331</v>
      </c>
      <c r="C122" s="62" t="s">
        <v>333</v>
      </c>
      <c r="D122" s="60" t="s">
        <v>171</v>
      </c>
      <c r="E122" s="61" t="s">
        <v>20</v>
      </c>
      <c r="F122" s="92">
        <v>26834</v>
      </c>
      <c r="G122" s="61" t="s">
        <v>172</v>
      </c>
      <c r="H122" s="63" t="s">
        <v>417</v>
      </c>
      <c r="I122" s="60" t="s">
        <v>419</v>
      </c>
    </row>
    <row r="123" spans="1:9" x14ac:dyDescent="0.35">
      <c r="A123" s="91" t="s">
        <v>8</v>
      </c>
      <c r="B123" s="61" t="s">
        <v>334</v>
      </c>
      <c r="C123" s="61" t="s">
        <v>335</v>
      </c>
      <c r="D123" s="60" t="s">
        <v>171</v>
      </c>
      <c r="E123" s="61" t="s">
        <v>15</v>
      </c>
      <c r="F123" s="92">
        <v>26885</v>
      </c>
      <c r="G123" s="61" t="s">
        <v>172</v>
      </c>
      <c r="H123" s="63" t="s">
        <v>97</v>
      </c>
      <c r="I123" s="60" t="s">
        <v>419</v>
      </c>
    </row>
    <row r="124" spans="1:9" x14ac:dyDescent="0.35">
      <c r="A124" s="91" t="s">
        <v>8</v>
      </c>
      <c r="B124" s="61" t="s">
        <v>480</v>
      </c>
      <c r="C124" s="61" t="s">
        <v>388</v>
      </c>
      <c r="D124" s="60" t="s">
        <v>171</v>
      </c>
      <c r="E124" s="61" t="s">
        <v>123</v>
      </c>
      <c r="F124" s="92">
        <v>37583</v>
      </c>
      <c r="G124" s="61" t="s">
        <v>184</v>
      </c>
      <c r="H124" s="63" t="s">
        <v>481</v>
      </c>
      <c r="I124" s="60">
        <v>2019</v>
      </c>
    </row>
    <row r="125" spans="1:9" x14ac:dyDescent="0.35">
      <c r="A125" s="91">
        <v>3</v>
      </c>
      <c r="B125" s="61" t="s">
        <v>338</v>
      </c>
      <c r="C125" s="61" t="s">
        <v>339</v>
      </c>
      <c r="D125" s="60" t="s">
        <v>171</v>
      </c>
      <c r="E125" s="61" t="s">
        <v>3</v>
      </c>
      <c r="F125" s="92">
        <v>28339</v>
      </c>
      <c r="G125" s="61" t="s">
        <v>172</v>
      </c>
      <c r="H125" s="63" t="s">
        <v>101</v>
      </c>
      <c r="I125" s="60" t="s">
        <v>419</v>
      </c>
    </row>
    <row r="126" spans="1:9" x14ac:dyDescent="0.35">
      <c r="A126" s="91" t="s">
        <v>8</v>
      </c>
      <c r="B126" s="61" t="s">
        <v>342</v>
      </c>
      <c r="C126" s="61" t="s">
        <v>271</v>
      </c>
      <c r="D126" s="60" t="s">
        <v>171</v>
      </c>
      <c r="E126" s="61" t="s">
        <v>15</v>
      </c>
      <c r="F126" s="92">
        <v>37097</v>
      </c>
      <c r="G126" s="61" t="s">
        <v>184</v>
      </c>
      <c r="H126" s="63" t="s">
        <v>109</v>
      </c>
      <c r="I126" s="60" t="s">
        <v>419</v>
      </c>
    </row>
    <row r="127" spans="1:9" x14ac:dyDescent="0.35">
      <c r="A127" s="91" t="s">
        <v>8</v>
      </c>
      <c r="B127" s="61" t="s">
        <v>343</v>
      </c>
      <c r="C127" s="61" t="s">
        <v>344</v>
      </c>
      <c r="D127" s="60" t="s">
        <v>186</v>
      </c>
      <c r="E127" s="61" t="s">
        <v>15</v>
      </c>
      <c r="F127" s="92">
        <v>30215</v>
      </c>
      <c r="G127" s="61" t="s">
        <v>187</v>
      </c>
      <c r="H127" s="63" t="s">
        <v>111</v>
      </c>
      <c r="I127" s="60">
        <v>2019</v>
      </c>
    </row>
    <row r="128" spans="1:9" x14ac:dyDescent="0.35">
      <c r="A128" s="91">
        <v>3</v>
      </c>
      <c r="B128" s="61" t="s">
        <v>482</v>
      </c>
      <c r="C128" s="61" t="s">
        <v>308</v>
      </c>
      <c r="D128" s="60" t="s">
        <v>171</v>
      </c>
      <c r="E128" s="61" t="s">
        <v>29</v>
      </c>
      <c r="F128" s="92">
        <v>23551</v>
      </c>
      <c r="G128" s="61" t="s">
        <v>174</v>
      </c>
      <c r="H128" s="63" t="s">
        <v>483</v>
      </c>
      <c r="I128" s="60" t="s">
        <v>419</v>
      </c>
    </row>
    <row r="129" spans="1:9" x14ac:dyDescent="0.35">
      <c r="A129" s="91" t="s">
        <v>8</v>
      </c>
      <c r="B129" s="61" t="s">
        <v>345</v>
      </c>
      <c r="C129" s="61" t="s">
        <v>226</v>
      </c>
      <c r="D129" s="60" t="s">
        <v>171</v>
      </c>
      <c r="E129" s="61" t="s">
        <v>9</v>
      </c>
      <c r="F129" s="92">
        <v>26597</v>
      </c>
      <c r="G129" s="61" t="s">
        <v>172</v>
      </c>
      <c r="H129" s="63" t="s">
        <v>112</v>
      </c>
      <c r="I129" s="60">
        <v>2019</v>
      </c>
    </row>
    <row r="130" spans="1:9" x14ac:dyDescent="0.35">
      <c r="A130" s="91">
        <v>3</v>
      </c>
      <c r="B130" s="61" t="s">
        <v>524</v>
      </c>
      <c r="C130" s="61" t="s">
        <v>339</v>
      </c>
      <c r="D130" s="60" t="s">
        <v>171</v>
      </c>
      <c r="E130" s="61" t="s">
        <v>123</v>
      </c>
      <c r="F130" s="92">
        <v>33802</v>
      </c>
      <c r="G130" s="61" t="s">
        <v>178</v>
      </c>
      <c r="H130" s="63" t="s">
        <v>536</v>
      </c>
      <c r="I130" s="60" t="s">
        <v>419</v>
      </c>
    </row>
    <row r="131" spans="1:9" x14ac:dyDescent="0.35">
      <c r="A131" s="91" t="s">
        <v>8</v>
      </c>
      <c r="B131" s="61" t="s">
        <v>484</v>
      </c>
      <c r="C131" s="61" t="s">
        <v>485</v>
      </c>
      <c r="D131" s="60" t="s">
        <v>171</v>
      </c>
      <c r="E131" s="61" t="s">
        <v>10</v>
      </c>
      <c r="F131" s="92">
        <v>25654</v>
      </c>
      <c r="G131" s="61" t="s">
        <v>172</v>
      </c>
      <c r="H131" s="63" t="s">
        <v>486</v>
      </c>
      <c r="I131" s="60" t="s">
        <v>419</v>
      </c>
    </row>
    <row r="132" spans="1:9" x14ac:dyDescent="0.35">
      <c r="A132" s="91" t="s">
        <v>8</v>
      </c>
      <c r="B132" s="61" t="s">
        <v>346</v>
      </c>
      <c r="C132" s="61" t="s">
        <v>226</v>
      </c>
      <c r="D132" s="60" t="s">
        <v>171</v>
      </c>
      <c r="E132" s="61" t="s">
        <v>17</v>
      </c>
      <c r="F132" s="92">
        <v>27274</v>
      </c>
      <c r="G132" s="61" t="s">
        <v>172</v>
      </c>
      <c r="H132" s="63" t="s">
        <v>118</v>
      </c>
      <c r="I132" s="60" t="s">
        <v>419</v>
      </c>
    </row>
    <row r="133" spans="1:9" x14ac:dyDescent="0.35">
      <c r="A133" s="91" t="s">
        <v>8</v>
      </c>
      <c r="B133" s="61" t="s">
        <v>346</v>
      </c>
      <c r="C133" s="61" t="s">
        <v>347</v>
      </c>
      <c r="D133" s="60" t="s">
        <v>171</v>
      </c>
      <c r="E133" s="61" t="s">
        <v>6</v>
      </c>
      <c r="F133" s="92">
        <v>21618</v>
      </c>
      <c r="G133" s="61" t="s">
        <v>185</v>
      </c>
      <c r="H133" s="63" t="s">
        <v>119</v>
      </c>
      <c r="I133" s="60" t="s">
        <v>419</v>
      </c>
    </row>
    <row r="134" spans="1:9" x14ac:dyDescent="0.35">
      <c r="A134" s="91" t="s">
        <v>8</v>
      </c>
      <c r="B134" s="61" t="s">
        <v>487</v>
      </c>
      <c r="C134" s="61" t="s">
        <v>488</v>
      </c>
      <c r="D134" s="60" t="s">
        <v>171</v>
      </c>
      <c r="E134" s="61" t="s">
        <v>17</v>
      </c>
      <c r="F134" s="92">
        <v>33284</v>
      </c>
      <c r="G134" s="61" t="s">
        <v>178</v>
      </c>
      <c r="H134" s="63" t="s">
        <v>489</v>
      </c>
      <c r="I134" s="60" t="s">
        <v>419</v>
      </c>
    </row>
    <row r="135" spans="1:9" x14ac:dyDescent="0.35">
      <c r="A135" s="91">
        <v>3</v>
      </c>
      <c r="B135" s="61" t="s">
        <v>525</v>
      </c>
      <c r="C135" s="61" t="s">
        <v>212</v>
      </c>
      <c r="D135" s="60" t="s">
        <v>171</v>
      </c>
      <c r="E135" s="61" t="s">
        <v>3</v>
      </c>
      <c r="F135" s="92">
        <v>32896</v>
      </c>
      <c r="G135" s="61" t="s">
        <v>178</v>
      </c>
      <c r="H135" s="63" t="s">
        <v>537</v>
      </c>
      <c r="I135" s="60" t="s">
        <v>419</v>
      </c>
    </row>
    <row r="136" spans="1:9" x14ac:dyDescent="0.35">
      <c r="A136" s="91" t="s">
        <v>490</v>
      </c>
      <c r="B136" s="61" t="s">
        <v>358</v>
      </c>
      <c r="C136" s="61" t="s">
        <v>250</v>
      </c>
      <c r="D136" s="60" t="s">
        <v>171</v>
      </c>
      <c r="E136" s="61" t="s">
        <v>3</v>
      </c>
      <c r="F136" s="92">
        <v>23992</v>
      </c>
      <c r="G136" s="61" t="s">
        <v>174</v>
      </c>
      <c r="H136" s="63" t="s">
        <v>4</v>
      </c>
      <c r="I136" s="60" t="s">
        <v>419</v>
      </c>
    </row>
    <row r="137" spans="1:9" x14ac:dyDescent="0.35">
      <c r="A137" s="91" t="s">
        <v>490</v>
      </c>
      <c r="B137" s="61" t="s">
        <v>247</v>
      </c>
      <c r="C137" s="61" t="s">
        <v>281</v>
      </c>
      <c r="D137" s="60" t="s">
        <v>171</v>
      </c>
      <c r="E137" s="61" t="s">
        <v>6</v>
      </c>
      <c r="F137" s="92">
        <v>23119</v>
      </c>
      <c r="G137" s="61" t="s">
        <v>174</v>
      </c>
      <c r="H137" s="63" t="s">
        <v>14</v>
      </c>
      <c r="I137" s="60" t="s">
        <v>419</v>
      </c>
    </row>
    <row r="138" spans="1:9" x14ac:dyDescent="0.35">
      <c r="A138" s="91" t="s">
        <v>490</v>
      </c>
      <c r="B138" s="61" t="s">
        <v>491</v>
      </c>
      <c r="C138" s="61" t="s">
        <v>492</v>
      </c>
      <c r="D138" s="60" t="s">
        <v>171</v>
      </c>
      <c r="E138" s="61" t="s">
        <v>17</v>
      </c>
      <c r="F138" s="92">
        <v>20054</v>
      </c>
      <c r="G138" s="61" t="s">
        <v>185</v>
      </c>
      <c r="H138" s="63" t="s">
        <v>493</v>
      </c>
      <c r="I138" s="60" t="s">
        <v>419</v>
      </c>
    </row>
    <row r="139" spans="1:9" x14ac:dyDescent="0.35">
      <c r="A139" s="91" t="s">
        <v>490</v>
      </c>
      <c r="B139" s="61" t="s">
        <v>293</v>
      </c>
      <c r="C139" s="61" t="s">
        <v>207</v>
      </c>
      <c r="D139" s="60" t="s">
        <v>171</v>
      </c>
      <c r="E139" s="61" t="s">
        <v>10</v>
      </c>
      <c r="F139" s="92">
        <v>22239</v>
      </c>
      <c r="G139" s="61" t="s">
        <v>174</v>
      </c>
      <c r="H139" s="63" t="s">
        <v>27</v>
      </c>
      <c r="I139" s="60" t="s">
        <v>419</v>
      </c>
    </row>
    <row r="140" spans="1:9" x14ac:dyDescent="0.35">
      <c r="A140" s="91" t="s">
        <v>490</v>
      </c>
      <c r="B140" s="62" t="s">
        <v>494</v>
      </c>
      <c r="C140" s="62" t="s">
        <v>495</v>
      </c>
      <c r="D140" s="60" t="s">
        <v>171</v>
      </c>
      <c r="E140" s="61" t="s">
        <v>15</v>
      </c>
      <c r="F140" s="92">
        <v>20174</v>
      </c>
      <c r="G140" s="61" t="s">
        <v>185</v>
      </c>
      <c r="H140" s="63" t="s">
        <v>34</v>
      </c>
      <c r="I140" s="60" t="s">
        <v>419</v>
      </c>
    </row>
    <row r="141" spans="1:9" x14ac:dyDescent="0.35">
      <c r="A141" s="91" t="s">
        <v>490</v>
      </c>
      <c r="B141" s="61" t="s">
        <v>298</v>
      </c>
      <c r="C141" s="61" t="s">
        <v>231</v>
      </c>
      <c r="D141" s="60" t="s">
        <v>171</v>
      </c>
      <c r="E141" s="61" t="s">
        <v>10</v>
      </c>
      <c r="F141" s="92">
        <v>35016</v>
      </c>
      <c r="G141" s="61" t="s">
        <v>178</v>
      </c>
      <c r="H141" s="63" t="s">
        <v>35</v>
      </c>
      <c r="I141" s="60" t="s">
        <v>419</v>
      </c>
    </row>
    <row r="142" spans="1:9" x14ac:dyDescent="0.35">
      <c r="A142" s="91" t="s">
        <v>490</v>
      </c>
      <c r="B142" s="61" t="s">
        <v>359</v>
      </c>
      <c r="C142" s="61" t="s">
        <v>360</v>
      </c>
      <c r="D142" s="60" t="s">
        <v>171</v>
      </c>
      <c r="E142" s="61" t="s">
        <v>41</v>
      </c>
      <c r="F142" s="92">
        <v>20552</v>
      </c>
      <c r="G142" s="61" t="s">
        <v>185</v>
      </c>
      <c r="H142" s="63" t="s">
        <v>42</v>
      </c>
      <c r="I142" s="60" t="s">
        <v>419</v>
      </c>
    </row>
    <row r="143" spans="1:9" x14ac:dyDescent="0.35">
      <c r="A143" s="91" t="s">
        <v>490</v>
      </c>
      <c r="B143" s="62" t="s">
        <v>496</v>
      </c>
      <c r="C143" s="62" t="s">
        <v>229</v>
      </c>
      <c r="D143" s="60" t="s">
        <v>171</v>
      </c>
      <c r="E143" s="61" t="s">
        <v>9</v>
      </c>
      <c r="F143" s="92">
        <v>21635</v>
      </c>
      <c r="G143" s="61" t="s">
        <v>185</v>
      </c>
      <c r="H143" s="63" t="s">
        <v>43</v>
      </c>
      <c r="I143" s="64" t="s">
        <v>419</v>
      </c>
    </row>
    <row r="144" spans="1:9" x14ac:dyDescent="0.35">
      <c r="A144" s="91" t="s">
        <v>490</v>
      </c>
      <c r="B144" s="62" t="s">
        <v>387</v>
      </c>
      <c r="C144" s="62" t="s">
        <v>254</v>
      </c>
      <c r="D144" s="60" t="s">
        <v>171</v>
      </c>
      <c r="E144" s="61" t="s">
        <v>29</v>
      </c>
      <c r="F144" s="92">
        <v>23524</v>
      </c>
      <c r="G144" s="61" t="s">
        <v>174</v>
      </c>
      <c r="H144" s="63" t="s">
        <v>45</v>
      </c>
      <c r="I144" s="60" t="s">
        <v>419</v>
      </c>
    </row>
    <row r="145" spans="1:9" x14ac:dyDescent="0.35">
      <c r="A145" s="98" t="s">
        <v>490</v>
      </c>
      <c r="B145" s="62" t="s">
        <v>361</v>
      </c>
      <c r="C145" s="62" t="s">
        <v>362</v>
      </c>
      <c r="D145" s="60" t="s">
        <v>171</v>
      </c>
      <c r="E145" s="61" t="s">
        <v>41</v>
      </c>
      <c r="F145" s="92">
        <v>30648</v>
      </c>
      <c r="G145" s="61" t="s">
        <v>176</v>
      </c>
      <c r="H145" s="63" t="s">
        <v>54</v>
      </c>
      <c r="I145" s="60" t="s">
        <v>419</v>
      </c>
    </row>
    <row r="146" spans="1:9" x14ac:dyDescent="0.35">
      <c r="A146" s="91" t="s">
        <v>490</v>
      </c>
      <c r="B146" s="61" t="s">
        <v>363</v>
      </c>
      <c r="C146" s="61" t="s">
        <v>364</v>
      </c>
      <c r="D146" s="60" t="s">
        <v>171</v>
      </c>
      <c r="E146" s="61" t="s">
        <v>6</v>
      </c>
      <c r="F146" s="92">
        <v>24354</v>
      </c>
      <c r="G146" s="61" t="s">
        <v>174</v>
      </c>
      <c r="H146" s="63" t="s">
        <v>56</v>
      </c>
      <c r="I146" s="60" t="s">
        <v>419</v>
      </c>
    </row>
    <row r="147" spans="1:9" x14ac:dyDescent="0.35">
      <c r="A147" s="91" t="s">
        <v>490</v>
      </c>
      <c r="B147" s="61" t="s">
        <v>267</v>
      </c>
      <c r="C147" s="61" t="s">
        <v>205</v>
      </c>
      <c r="D147" s="60" t="s">
        <v>171</v>
      </c>
      <c r="E147" s="61" t="s">
        <v>6</v>
      </c>
      <c r="F147" s="92">
        <v>25745</v>
      </c>
      <c r="G147" s="61" t="s">
        <v>172</v>
      </c>
      <c r="H147" s="63" t="s">
        <v>58</v>
      </c>
      <c r="I147" s="60" t="s">
        <v>419</v>
      </c>
    </row>
    <row r="148" spans="1:9" x14ac:dyDescent="0.35">
      <c r="A148" s="91" t="s">
        <v>490</v>
      </c>
      <c r="B148" s="61" t="s">
        <v>365</v>
      </c>
      <c r="C148" s="61" t="s">
        <v>335</v>
      </c>
      <c r="D148" s="60" t="s">
        <v>171</v>
      </c>
      <c r="E148" s="61" t="s">
        <v>20</v>
      </c>
      <c r="F148" s="92">
        <v>19584</v>
      </c>
      <c r="G148" s="61" t="s">
        <v>185</v>
      </c>
      <c r="H148" s="63" t="s">
        <v>61</v>
      </c>
      <c r="I148" s="60" t="s">
        <v>419</v>
      </c>
    </row>
    <row r="149" spans="1:9" x14ac:dyDescent="0.35">
      <c r="A149" s="91" t="s">
        <v>490</v>
      </c>
      <c r="B149" s="61" t="s">
        <v>366</v>
      </c>
      <c r="C149" s="61" t="s">
        <v>367</v>
      </c>
      <c r="D149" s="60" t="s">
        <v>171</v>
      </c>
      <c r="E149" s="61" t="s">
        <v>15</v>
      </c>
      <c r="F149" s="92">
        <v>20043</v>
      </c>
      <c r="G149" s="61" t="s">
        <v>185</v>
      </c>
      <c r="H149" s="63" t="s">
        <v>136</v>
      </c>
      <c r="I149" s="60" t="s">
        <v>419</v>
      </c>
    </row>
    <row r="150" spans="1:9" x14ac:dyDescent="0.35">
      <c r="A150" s="91" t="s">
        <v>490</v>
      </c>
      <c r="B150" s="62" t="s">
        <v>476</v>
      </c>
      <c r="C150" s="62" t="s">
        <v>265</v>
      </c>
      <c r="D150" s="60" t="s">
        <v>171</v>
      </c>
      <c r="E150" s="61" t="s">
        <v>17</v>
      </c>
      <c r="F150" s="92">
        <v>26503</v>
      </c>
      <c r="G150" s="61" t="s">
        <v>172</v>
      </c>
      <c r="H150" s="63" t="s">
        <v>477</v>
      </c>
      <c r="I150" s="60" t="s">
        <v>419</v>
      </c>
    </row>
    <row r="151" spans="1:9" x14ac:dyDescent="0.35">
      <c r="A151" s="91" t="s">
        <v>490</v>
      </c>
      <c r="B151" s="61" t="s">
        <v>497</v>
      </c>
      <c r="C151" s="61" t="s">
        <v>285</v>
      </c>
      <c r="D151" s="60" t="s">
        <v>171</v>
      </c>
      <c r="E151" s="61" t="s">
        <v>10</v>
      </c>
      <c r="F151" s="92">
        <v>22060</v>
      </c>
      <c r="G151" s="61" t="s">
        <v>174</v>
      </c>
      <c r="H151" s="63" t="s">
        <v>498</v>
      </c>
      <c r="I151" s="60" t="s">
        <v>419</v>
      </c>
    </row>
    <row r="152" spans="1:9" x14ac:dyDescent="0.35">
      <c r="A152" s="91" t="s">
        <v>490</v>
      </c>
      <c r="B152" s="61" t="s">
        <v>327</v>
      </c>
      <c r="C152" s="61" t="s">
        <v>499</v>
      </c>
      <c r="D152" s="60" t="s">
        <v>171</v>
      </c>
      <c r="E152" s="61" t="s">
        <v>6</v>
      </c>
      <c r="F152" s="92">
        <v>21387</v>
      </c>
      <c r="G152" s="61" t="s">
        <v>185</v>
      </c>
      <c r="H152" s="63" t="s">
        <v>500</v>
      </c>
      <c r="I152" s="64">
        <v>2019</v>
      </c>
    </row>
    <row r="153" spans="1:9" x14ac:dyDescent="0.35">
      <c r="A153" s="98" t="s">
        <v>490</v>
      </c>
      <c r="B153" s="62" t="s">
        <v>501</v>
      </c>
      <c r="C153" s="62" t="s">
        <v>502</v>
      </c>
      <c r="D153" s="60" t="s">
        <v>171</v>
      </c>
      <c r="E153" s="61" t="s">
        <v>6</v>
      </c>
      <c r="F153" s="92">
        <v>28545</v>
      </c>
      <c r="G153" s="61" t="s">
        <v>172</v>
      </c>
      <c r="H153" s="63" t="s">
        <v>503</v>
      </c>
      <c r="I153" s="60" t="s">
        <v>419</v>
      </c>
    </row>
    <row r="154" spans="1:9" x14ac:dyDescent="0.35">
      <c r="A154" s="91" t="s">
        <v>490</v>
      </c>
      <c r="B154" s="61" t="s">
        <v>368</v>
      </c>
      <c r="C154" s="61" t="s">
        <v>285</v>
      </c>
      <c r="D154" s="60" t="s">
        <v>171</v>
      </c>
      <c r="E154" s="61" t="s">
        <v>17</v>
      </c>
      <c r="F154" s="92">
        <v>20332</v>
      </c>
      <c r="G154" s="61" t="s">
        <v>185</v>
      </c>
      <c r="H154" s="63" t="s">
        <v>84</v>
      </c>
      <c r="I154" s="60">
        <v>2019</v>
      </c>
    </row>
    <row r="155" spans="1:9" x14ac:dyDescent="0.35">
      <c r="A155" s="91" t="s">
        <v>490</v>
      </c>
      <c r="B155" s="61" t="s">
        <v>369</v>
      </c>
      <c r="C155" s="61" t="s">
        <v>370</v>
      </c>
      <c r="D155" s="60" t="s">
        <v>171</v>
      </c>
      <c r="E155" s="61" t="s">
        <v>29</v>
      </c>
      <c r="F155" s="92">
        <v>22556</v>
      </c>
      <c r="G155" s="61" t="s">
        <v>174</v>
      </c>
      <c r="H155" s="63" t="s">
        <v>88</v>
      </c>
      <c r="I155" s="60" t="s">
        <v>419</v>
      </c>
    </row>
    <row r="156" spans="1:9" x14ac:dyDescent="0.35">
      <c r="A156" s="98" t="s">
        <v>490</v>
      </c>
      <c r="B156" s="62" t="s">
        <v>276</v>
      </c>
      <c r="C156" s="62" t="s">
        <v>217</v>
      </c>
      <c r="D156" s="60" t="s">
        <v>171</v>
      </c>
      <c r="E156" s="61" t="s">
        <v>17</v>
      </c>
      <c r="F156" s="92">
        <v>19840</v>
      </c>
      <c r="G156" s="61" t="s">
        <v>185</v>
      </c>
      <c r="H156" s="63" t="s">
        <v>504</v>
      </c>
      <c r="I156" s="60" t="s">
        <v>419</v>
      </c>
    </row>
    <row r="157" spans="1:9" x14ac:dyDescent="0.35">
      <c r="A157" s="91" t="s">
        <v>490</v>
      </c>
      <c r="B157" s="61" t="s">
        <v>371</v>
      </c>
      <c r="C157" s="61" t="s">
        <v>323</v>
      </c>
      <c r="D157" s="60" t="s">
        <v>171</v>
      </c>
      <c r="E157" s="61" t="s">
        <v>3</v>
      </c>
      <c r="F157" s="92">
        <v>24342</v>
      </c>
      <c r="G157" s="61" t="s">
        <v>174</v>
      </c>
      <c r="H157" s="63" t="s">
        <v>127</v>
      </c>
      <c r="I157" s="60" t="s">
        <v>419</v>
      </c>
    </row>
    <row r="158" spans="1:9" x14ac:dyDescent="0.35">
      <c r="A158" s="91" t="s">
        <v>490</v>
      </c>
      <c r="B158" s="61" t="s">
        <v>336</v>
      </c>
      <c r="C158" s="61" t="s">
        <v>337</v>
      </c>
      <c r="D158" s="60" t="s">
        <v>171</v>
      </c>
      <c r="E158" s="61" t="s">
        <v>6</v>
      </c>
      <c r="F158" s="92">
        <v>36546</v>
      </c>
      <c r="G158" s="61" t="s">
        <v>184</v>
      </c>
      <c r="H158" s="63" t="s">
        <v>100</v>
      </c>
      <c r="I158" s="60" t="s">
        <v>419</v>
      </c>
    </row>
    <row r="159" spans="1:9" x14ac:dyDescent="0.35">
      <c r="A159" s="91" t="s">
        <v>490</v>
      </c>
      <c r="B159" s="61" t="s">
        <v>340</v>
      </c>
      <c r="C159" s="61" t="s">
        <v>341</v>
      </c>
      <c r="D159" s="60" t="s">
        <v>171</v>
      </c>
      <c r="E159" s="61" t="s">
        <v>9</v>
      </c>
      <c r="F159" s="92">
        <v>27077</v>
      </c>
      <c r="G159" s="61" t="s">
        <v>172</v>
      </c>
      <c r="H159" s="63" t="s">
        <v>108</v>
      </c>
      <c r="I159" s="60" t="s">
        <v>419</v>
      </c>
    </row>
    <row r="160" spans="1:9" x14ac:dyDescent="0.35">
      <c r="A160" s="91" t="s">
        <v>490</v>
      </c>
      <c r="B160" s="61" t="s">
        <v>372</v>
      </c>
      <c r="C160" s="61" t="s">
        <v>373</v>
      </c>
      <c r="D160" s="60" t="s">
        <v>171</v>
      </c>
      <c r="E160" s="61" t="s">
        <v>17</v>
      </c>
      <c r="F160" s="92">
        <v>27628</v>
      </c>
      <c r="G160" s="61" t="s">
        <v>172</v>
      </c>
      <c r="H160" s="63" t="s">
        <v>110</v>
      </c>
      <c r="I160" s="60">
        <v>2019</v>
      </c>
    </row>
    <row r="161" spans="1:9" x14ac:dyDescent="0.35">
      <c r="A161" s="91" t="s">
        <v>490</v>
      </c>
      <c r="B161" s="61" t="s">
        <v>526</v>
      </c>
      <c r="C161" s="61" t="s">
        <v>258</v>
      </c>
      <c r="D161" s="60" t="s">
        <v>171</v>
      </c>
      <c r="E161" s="61" t="s">
        <v>9</v>
      </c>
      <c r="F161" s="92">
        <v>30228</v>
      </c>
      <c r="G161" s="61" t="s">
        <v>176</v>
      </c>
      <c r="H161" s="63" t="s">
        <v>538</v>
      </c>
      <c r="I161" s="60" t="s">
        <v>419</v>
      </c>
    </row>
    <row r="162" spans="1:9" x14ac:dyDescent="0.35">
      <c r="A162" s="91" t="s">
        <v>490</v>
      </c>
      <c r="B162" s="61" t="s">
        <v>374</v>
      </c>
      <c r="C162" s="61" t="s">
        <v>375</v>
      </c>
      <c r="D162" s="60" t="s">
        <v>171</v>
      </c>
      <c r="E162" s="61" t="s">
        <v>41</v>
      </c>
      <c r="F162" s="92">
        <v>20238</v>
      </c>
      <c r="G162" s="61" t="s">
        <v>185</v>
      </c>
      <c r="H162" s="63" t="s">
        <v>116</v>
      </c>
      <c r="I162" s="60" t="s">
        <v>419</v>
      </c>
    </row>
    <row r="163" spans="1:9" x14ac:dyDescent="0.35">
      <c r="A163" s="91" t="s">
        <v>490</v>
      </c>
      <c r="B163" s="61" t="s">
        <v>346</v>
      </c>
      <c r="C163" s="61" t="s">
        <v>335</v>
      </c>
      <c r="D163" s="60" t="s">
        <v>171</v>
      </c>
      <c r="E163" s="61" t="s">
        <v>6</v>
      </c>
      <c r="F163" s="92">
        <v>29883</v>
      </c>
      <c r="G163" s="61" t="s">
        <v>176</v>
      </c>
      <c r="H163" s="63" t="s">
        <v>120</v>
      </c>
      <c r="I163" s="64" t="s">
        <v>419</v>
      </c>
    </row>
    <row r="164" spans="1:9" x14ac:dyDescent="0.35">
      <c r="A164" s="98" t="s">
        <v>490</v>
      </c>
      <c r="B164" s="62" t="s">
        <v>377</v>
      </c>
      <c r="C164" s="62" t="s">
        <v>378</v>
      </c>
      <c r="D164" s="60" t="s">
        <v>171</v>
      </c>
      <c r="E164" s="61" t="s">
        <v>20</v>
      </c>
      <c r="F164" s="92">
        <v>25924</v>
      </c>
      <c r="G164" s="61" t="s">
        <v>172</v>
      </c>
      <c r="H164" s="63" t="s">
        <v>125</v>
      </c>
      <c r="I164" s="60" t="s">
        <v>419</v>
      </c>
    </row>
    <row r="165" spans="1:9" x14ac:dyDescent="0.35">
      <c r="A165" s="91" t="s">
        <v>490</v>
      </c>
      <c r="B165" s="61" t="s">
        <v>376</v>
      </c>
      <c r="C165" s="61" t="s">
        <v>284</v>
      </c>
      <c r="D165" s="60" t="s">
        <v>171</v>
      </c>
      <c r="E165" s="61" t="s">
        <v>20</v>
      </c>
      <c r="F165" s="92">
        <v>22119</v>
      </c>
      <c r="G165" s="61" t="s">
        <v>174</v>
      </c>
      <c r="H165" s="63" t="s">
        <v>122</v>
      </c>
      <c r="I165" s="60">
        <v>2019</v>
      </c>
    </row>
    <row r="166" spans="1:9" x14ac:dyDescent="0.35">
      <c r="A166" s="91" t="s">
        <v>527</v>
      </c>
      <c r="B166" s="61" t="s">
        <v>528</v>
      </c>
      <c r="C166" s="61" t="s">
        <v>529</v>
      </c>
      <c r="D166" s="60" t="s">
        <v>171</v>
      </c>
      <c r="E166" s="61" t="s">
        <v>3</v>
      </c>
      <c r="F166" s="92">
        <v>16916</v>
      </c>
      <c r="G166" s="61" t="s">
        <v>185</v>
      </c>
      <c r="H166" s="63" t="s">
        <v>539</v>
      </c>
      <c r="I166" s="60" t="s">
        <v>419</v>
      </c>
    </row>
    <row r="167" spans="1:9" x14ac:dyDescent="0.35">
      <c r="A167" s="98" t="s">
        <v>5</v>
      </c>
      <c r="B167" s="62" t="s">
        <v>348</v>
      </c>
      <c r="C167" s="62" t="s">
        <v>349</v>
      </c>
      <c r="D167" s="60" t="s">
        <v>186</v>
      </c>
      <c r="E167" s="61" t="s">
        <v>6</v>
      </c>
      <c r="F167" s="92">
        <v>36688</v>
      </c>
      <c r="G167" s="61" t="s">
        <v>188</v>
      </c>
      <c r="H167" s="63" t="s">
        <v>7</v>
      </c>
      <c r="I167" s="60" t="s">
        <v>419</v>
      </c>
    </row>
    <row r="168" spans="1:9" x14ac:dyDescent="0.35">
      <c r="A168" s="91" t="s">
        <v>5</v>
      </c>
      <c r="B168" s="61" t="s">
        <v>202</v>
      </c>
      <c r="C168" s="61" t="s">
        <v>350</v>
      </c>
      <c r="D168" s="60" t="s">
        <v>186</v>
      </c>
      <c r="E168" s="61" t="s">
        <v>20</v>
      </c>
      <c r="F168" s="92">
        <v>23809</v>
      </c>
      <c r="G168" s="61" t="s">
        <v>189</v>
      </c>
      <c r="H168" s="63" t="s">
        <v>36</v>
      </c>
      <c r="I168" s="60">
        <v>2019</v>
      </c>
    </row>
    <row r="169" spans="1:9" x14ac:dyDescent="0.35">
      <c r="A169" s="91" t="s">
        <v>5</v>
      </c>
      <c r="B169" s="62" t="s">
        <v>544</v>
      </c>
      <c r="C169" s="62" t="s">
        <v>543</v>
      </c>
      <c r="D169" s="60" t="s">
        <v>186</v>
      </c>
      <c r="E169" s="61" t="s">
        <v>10</v>
      </c>
      <c r="F169" s="92">
        <v>29086</v>
      </c>
      <c r="G169" s="61" t="s">
        <v>189</v>
      </c>
      <c r="H169" s="63" t="s">
        <v>540</v>
      </c>
      <c r="I169" s="60">
        <v>2019</v>
      </c>
    </row>
    <row r="170" spans="1:9" x14ac:dyDescent="0.35">
      <c r="A170" s="91" t="s">
        <v>5</v>
      </c>
      <c r="B170" s="61" t="s">
        <v>505</v>
      </c>
      <c r="C170" s="61" t="s">
        <v>506</v>
      </c>
      <c r="D170" s="60" t="s">
        <v>186</v>
      </c>
      <c r="E170" s="61" t="s">
        <v>17</v>
      </c>
      <c r="F170" s="92">
        <v>25113</v>
      </c>
      <c r="G170" s="61" t="s">
        <v>189</v>
      </c>
      <c r="H170" s="63" t="s">
        <v>507</v>
      </c>
      <c r="I170" s="60" t="s">
        <v>419</v>
      </c>
    </row>
    <row r="171" spans="1:9" x14ac:dyDescent="0.35">
      <c r="A171" s="91" t="s">
        <v>5</v>
      </c>
      <c r="B171" s="61" t="s">
        <v>351</v>
      </c>
      <c r="C171" s="61" t="s">
        <v>352</v>
      </c>
      <c r="D171" s="60" t="s">
        <v>186</v>
      </c>
      <c r="E171" s="61" t="s">
        <v>17</v>
      </c>
      <c r="F171" s="92">
        <v>23921</v>
      </c>
      <c r="G171" s="61" t="s">
        <v>189</v>
      </c>
      <c r="H171" s="63" t="s">
        <v>67</v>
      </c>
      <c r="I171" s="60" t="s">
        <v>419</v>
      </c>
    </row>
    <row r="172" spans="1:9" x14ac:dyDescent="0.35">
      <c r="A172" s="91" t="s">
        <v>5</v>
      </c>
      <c r="B172" s="62" t="s">
        <v>508</v>
      </c>
      <c r="C172" s="62" t="s">
        <v>509</v>
      </c>
      <c r="D172" s="60" t="s">
        <v>186</v>
      </c>
      <c r="E172" s="61" t="s">
        <v>17</v>
      </c>
      <c r="F172" s="92">
        <v>30106</v>
      </c>
      <c r="G172" s="61" t="s">
        <v>187</v>
      </c>
      <c r="H172" s="63" t="s">
        <v>70</v>
      </c>
      <c r="I172" s="60" t="s">
        <v>419</v>
      </c>
    </row>
    <row r="173" spans="1:9" x14ac:dyDescent="0.35">
      <c r="A173" s="91" t="s">
        <v>5</v>
      </c>
      <c r="B173" s="62" t="s">
        <v>510</v>
      </c>
      <c r="C173" s="62" t="s">
        <v>511</v>
      </c>
      <c r="D173" s="60" t="s">
        <v>186</v>
      </c>
      <c r="E173" s="61" t="s">
        <v>17</v>
      </c>
      <c r="F173" s="92">
        <v>32876</v>
      </c>
      <c r="G173" s="61" t="s">
        <v>188</v>
      </c>
      <c r="H173" s="63" t="s">
        <v>512</v>
      </c>
      <c r="I173" s="60" t="s">
        <v>419</v>
      </c>
    </row>
    <row r="174" spans="1:9" x14ac:dyDescent="0.35">
      <c r="A174" s="91" t="s">
        <v>5</v>
      </c>
      <c r="B174" s="61" t="s">
        <v>353</v>
      </c>
      <c r="C174" s="61" t="s">
        <v>354</v>
      </c>
      <c r="D174" s="60" t="s">
        <v>186</v>
      </c>
      <c r="E174" s="61" t="s">
        <v>3</v>
      </c>
      <c r="F174" s="92">
        <v>31017</v>
      </c>
      <c r="G174" s="61" t="s">
        <v>187</v>
      </c>
      <c r="H174" s="63" t="s">
        <v>78</v>
      </c>
      <c r="I174" s="60">
        <v>2019</v>
      </c>
    </row>
    <row r="175" spans="1:9" x14ac:dyDescent="0.35">
      <c r="A175" s="91" t="s">
        <v>5</v>
      </c>
      <c r="B175" s="61" t="s">
        <v>355</v>
      </c>
      <c r="C175" s="61" t="s">
        <v>356</v>
      </c>
      <c r="D175" s="60" t="s">
        <v>186</v>
      </c>
      <c r="E175" s="61" t="s">
        <v>3</v>
      </c>
      <c r="F175" s="92">
        <v>28616</v>
      </c>
      <c r="G175" s="61" t="s">
        <v>189</v>
      </c>
      <c r="H175" s="63">
        <v>3893315900</v>
      </c>
      <c r="I175" s="60" t="s">
        <v>419</v>
      </c>
    </row>
    <row r="176" spans="1:9" x14ac:dyDescent="0.35">
      <c r="A176" s="91" t="s">
        <v>5</v>
      </c>
      <c r="B176" s="61" t="s">
        <v>513</v>
      </c>
      <c r="C176" s="61" t="s">
        <v>514</v>
      </c>
      <c r="D176" s="60" t="s">
        <v>186</v>
      </c>
      <c r="E176" s="61" t="s">
        <v>10</v>
      </c>
      <c r="F176" s="92">
        <v>33264</v>
      </c>
      <c r="G176" s="61" t="s">
        <v>188</v>
      </c>
      <c r="H176" s="111" t="s">
        <v>515</v>
      </c>
      <c r="I176" s="60" t="s">
        <v>419</v>
      </c>
    </row>
    <row r="177" spans="1:9" x14ac:dyDescent="0.35">
      <c r="A177" s="98" t="s">
        <v>5</v>
      </c>
      <c r="B177" s="62" t="s">
        <v>340</v>
      </c>
      <c r="C177" s="62" t="s">
        <v>357</v>
      </c>
      <c r="D177" s="60" t="s">
        <v>186</v>
      </c>
      <c r="E177" s="61" t="s">
        <v>9</v>
      </c>
      <c r="F177" s="92">
        <v>27528</v>
      </c>
      <c r="G177" s="61" t="s">
        <v>189</v>
      </c>
      <c r="H177" s="63" t="s">
        <v>107</v>
      </c>
      <c r="I177" s="60" t="s">
        <v>419</v>
      </c>
    </row>
    <row r="178" spans="1:9" x14ac:dyDescent="0.35">
      <c r="A178" s="91" t="s">
        <v>85</v>
      </c>
      <c r="B178" s="62" t="s">
        <v>309</v>
      </c>
      <c r="C178" s="62" t="s">
        <v>300</v>
      </c>
      <c r="D178" s="60" t="s">
        <v>171</v>
      </c>
      <c r="E178" s="61" t="s">
        <v>9</v>
      </c>
      <c r="F178" s="92">
        <v>38884</v>
      </c>
      <c r="G178" s="61" t="s">
        <v>191</v>
      </c>
      <c r="H178" s="104" t="s">
        <v>516</v>
      </c>
      <c r="I178" s="88" t="s">
        <v>419</v>
      </c>
    </row>
    <row r="179" spans="1:9" x14ac:dyDescent="0.35">
      <c r="A179" s="99" t="s">
        <v>85</v>
      </c>
      <c r="B179" s="77" t="s">
        <v>390</v>
      </c>
      <c r="C179" s="77" t="s">
        <v>274</v>
      </c>
      <c r="D179" s="88" t="s">
        <v>171</v>
      </c>
      <c r="E179" s="77" t="s">
        <v>9</v>
      </c>
      <c r="F179" s="94">
        <v>38697</v>
      </c>
      <c r="G179" s="77" t="s">
        <v>191</v>
      </c>
      <c r="H179" s="104" t="s">
        <v>86</v>
      </c>
      <c r="I179" s="88" t="s">
        <v>419</v>
      </c>
    </row>
    <row r="180" spans="1:9" x14ac:dyDescent="0.35">
      <c r="A180" s="99" t="s">
        <v>85</v>
      </c>
      <c r="B180" s="85" t="s">
        <v>517</v>
      </c>
      <c r="C180" s="77" t="s">
        <v>208</v>
      </c>
      <c r="D180" s="88" t="s">
        <v>171</v>
      </c>
      <c r="E180" s="85" t="s">
        <v>3</v>
      </c>
      <c r="F180" s="94">
        <v>37655</v>
      </c>
      <c r="G180" s="77" t="s">
        <v>190</v>
      </c>
      <c r="H180" s="104" t="s">
        <v>518</v>
      </c>
      <c r="I180" s="88">
        <v>2019</v>
      </c>
    </row>
    <row r="181" spans="1:9" x14ac:dyDescent="0.35">
      <c r="A181" s="99"/>
      <c r="B181" s="85"/>
      <c r="C181" s="77"/>
      <c r="D181" s="88"/>
      <c r="E181" s="77"/>
      <c r="F181" s="94"/>
      <c r="G181" s="77"/>
      <c r="H181" s="104"/>
      <c r="I181" s="88"/>
    </row>
    <row r="182" spans="1:9" x14ac:dyDescent="0.35">
      <c r="A182" s="99"/>
      <c r="B182" s="85"/>
      <c r="C182" s="77"/>
      <c r="D182" s="88"/>
      <c r="E182" s="77"/>
      <c r="F182" s="94"/>
      <c r="G182" s="77"/>
      <c r="H182" s="104"/>
      <c r="I182" s="88"/>
    </row>
    <row r="183" spans="1:9" x14ac:dyDescent="0.35">
      <c r="A183" s="99"/>
      <c r="B183" s="85"/>
      <c r="C183" s="77"/>
      <c r="D183" s="88"/>
      <c r="E183" s="77"/>
      <c r="F183" s="94"/>
      <c r="G183" s="77"/>
      <c r="H183" s="104"/>
      <c r="I183" s="88"/>
    </row>
    <row r="184" spans="1:9" x14ac:dyDescent="0.35">
      <c r="A184" s="99"/>
      <c r="B184" s="85"/>
      <c r="C184" s="77"/>
      <c r="D184" s="88"/>
      <c r="E184" s="77"/>
      <c r="F184" s="94"/>
      <c r="G184" s="77"/>
      <c r="H184" s="104"/>
      <c r="I184" s="88"/>
    </row>
    <row r="185" spans="1:9" x14ac:dyDescent="0.35">
      <c r="A185" s="99"/>
      <c r="B185" s="85"/>
      <c r="C185" s="77"/>
      <c r="D185" s="88"/>
      <c r="E185" s="77"/>
      <c r="F185" s="94"/>
      <c r="G185" s="77"/>
      <c r="H185" s="104"/>
      <c r="I185" s="88"/>
    </row>
    <row r="186" spans="1:9" x14ac:dyDescent="0.35">
      <c r="A186" s="99"/>
      <c r="B186" s="85"/>
      <c r="C186" s="77"/>
      <c r="D186" s="88"/>
      <c r="E186" s="77"/>
      <c r="F186" s="94"/>
      <c r="G186" s="77"/>
      <c r="H186" s="104"/>
      <c r="I186" s="88"/>
    </row>
    <row r="187" spans="1:9" x14ac:dyDescent="0.35">
      <c r="A187" s="99"/>
      <c r="B187" s="85"/>
      <c r="C187" s="77"/>
      <c r="D187" s="88"/>
      <c r="E187" s="77"/>
      <c r="F187" s="94"/>
      <c r="G187" s="77"/>
      <c r="H187" s="104"/>
      <c r="I187" s="88"/>
    </row>
    <row r="188" spans="1:9" x14ac:dyDescent="0.35">
      <c r="A188" s="99"/>
      <c r="B188" s="85"/>
      <c r="C188" s="77"/>
      <c r="D188" s="88"/>
      <c r="E188" s="77"/>
      <c r="F188" s="94"/>
      <c r="G188" s="77"/>
      <c r="H188" s="104"/>
      <c r="I188" s="88"/>
    </row>
    <row r="189" spans="1:9" x14ac:dyDescent="0.35">
      <c r="A189" s="99"/>
      <c r="B189" s="85"/>
      <c r="C189" s="77"/>
      <c r="D189" s="88"/>
      <c r="E189" s="77"/>
      <c r="F189" s="94"/>
      <c r="G189" s="77"/>
      <c r="H189" s="104"/>
      <c r="I189" s="88"/>
    </row>
    <row r="190" spans="1:9" x14ac:dyDescent="0.35">
      <c r="A190" s="99"/>
      <c r="B190" s="85"/>
      <c r="C190" s="77"/>
      <c r="D190" s="88"/>
      <c r="E190" s="77"/>
      <c r="F190" s="94"/>
      <c r="G190" s="77"/>
      <c r="H190" s="104"/>
      <c r="I190" s="88"/>
    </row>
    <row r="191" spans="1:9" x14ac:dyDescent="0.35">
      <c r="A191" s="99"/>
      <c r="B191" s="85"/>
      <c r="C191" s="77"/>
      <c r="D191" s="88"/>
      <c r="E191" s="77"/>
      <c r="F191" s="94"/>
      <c r="G191" s="77"/>
      <c r="H191" s="104"/>
      <c r="I191" s="88"/>
    </row>
    <row r="192" spans="1:9" x14ac:dyDescent="0.35">
      <c r="A192" s="99"/>
      <c r="B192" s="85"/>
      <c r="C192" s="77"/>
      <c r="D192" s="88"/>
      <c r="E192" s="77"/>
      <c r="F192" s="94"/>
      <c r="G192" s="77"/>
      <c r="H192" s="104"/>
      <c r="I192" s="88"/>
    </row>
    <row r="193" spans="1:9" x14ac:dyDescent="0.35">
      <c r="A193" s="99"/>
      <c r="B193" s="85"/>
      <c r="C193" s="77"/>
      <c r="D193" s="88"/>
      <c r="E193" s="77"/>
      <c r="F193" s="94"/>
      <c r="G193" s="77"/>
      <c r="H193" s="104"/>
      <c r="I193" s="88"/>
    </row>
    <row r="194" spans="1:9" x14ac:dyDescent="0.35">
      <c r="A194" s="99"/>
      <c r="B194" s="85"/>
      <c r="C194" s="77"/>
      <c r="D194" s="88"/>
      <c r="E194" s="77"/>
      <c r="F194" s="94"/>
      <c r="G194" s="77"/>
      <c r="H194" s="104"/>
      <c r="I194" s="88"/>
    </row>
    <row r="195" spans="1:9" x14ac:dyDescent="0.35">
      <c r="A195" s="99"/>
      <c r="B195" s="85"/>
      <c r="C195" s="77"/>
      <c r="D195" s="88"/>
      <c r="E195" s="77"/>
      <c r="F195" s="94"/>
      <c r="G195" s="77"/>
      <c r="H195" s="104"/>
      <c r="I195" s="88"/>
    </row>
    <row r="196" spans="1:9" x14ac:dyDescent="0.35">
      <c r="A196" s="99"/>
      <c r="B196" s="85"/>
      <c r="C196" s="77"/>
      <c r="D196" s="88"/>
      <c r="E196" s="77"/>
      <c r="F196" s="94"/>
      <c r="G196" s="77"/>
      <c r="H196" s="104"/>
      <c r="I196" s="88"/>
    </row>
    <row r="197" spans="1:9" x14ac:dyDescent="0.35">
      <c r="A197" s="99"/>
      <c r="B197" s="85"/>
      <c r="C197" s="77"/>
      <c r="D197" s="88"/>
      <c r="E197" s="77"/>
      <c r="F197" s="94"/>
      <c r="G197" s="77"/>
      <c r="H197" s="104"/>
      <c r="I197" s="88"/>
    </row>
    <row r="198" spans="1:9" x14ac:dyDescent="0.35">
      <c r="A198" s="99"/>
      <c r="B198" s="85"/>
      <c r="C198" s="77"/>
      <c r="D198" s="88"/>
      <c r="E198" s="77"/>
      <c r="F198" s="94"/>
      <c r="G198" s="77"/>
      <c r="H198" s="104"/>
      <c r="I198" s="88"/>
    </row>
    <row r="199" spans="1:9" x14ac:dyDescent="0.35">
      <c r="A199" s="99"/>
      <c r="B199" s="85"/>
      <c r="C199" s="77"/>
      <c r="D199" s="88"/>
      <c r="E199" s="77"/>
      <c r="F199" s="94"/>
      <c r="G199" s="77"/>
      <c r="H199" s="104"/>
      <c r="I199" s="88"/>
    </row>
    <row r="200" spans="1:9" x14ac:dyDescent="0.35">
      <c r="A200" s="99"/>
      <c r="B200" s="85"/>
      <c r="C200" s="77"/>
      <c r="D200" s="88"/>
      <c r="E200" s="77"/>
      <c r="F200" s="94"/>
      <c r="G200" s="77"/>
      <c r="H200" s="104"/>
      <c r="I200" s="88"/>
    </row>
    <row r="201" spans="1:9" x14ac:dyDescent="0.35">
      <c r="A201" s="99"/>
      <c r="B201" s="85"/>
      <c r="C201" s="77"/>
      <c r="D201" s="88"/>
      <c r="E201" s="77"/>
      <c r="F201" s="94"/>
      <c r="G201" s="77"/>
      <c r="H201" s="104"/>
      <c r="I201" s="88"/>
    </row>
    <row r="202" spans="1:9" x14ac:dyDescent="0.35">
      <c r="A202" s="99"/>
      <c r="B202" s="85"/>
      <c r="C202" s="77"/>
      <c r="D202" s="88"/>
      <c r="E202" s="77"/>
      <c r="F202" s="94"/>
      <c r="G202" s="77"/>
      <c r="H202" s="104"/>
      <c r="I202" s="88"/>
    </row>
    <row r="203" spans="1:9" x14ac:dyDescent="0.35">
      <c r="A203" s="99"/>
      <c r="B203" s="85"/>
      <c r="C203" s="77"/>
      <c r="D203" s="88"/>
      <c r="E203" s="77"/>
      <c r="F203" s="94"/>
      <c r="G203" s="77"/>
      <c r="H203" s="104"/>
      <c r="I203" s="88"/>
    </row>
    <row r="204" spans="1:9" x14ac:dyDescent="0.35">
      <c r="A204" s="99"/>
      <c r="B204" s="85"/>
      <c r="C204" s="77"/>
      <c r="D204" s="88"/>
      <c r="E204" s="77"/>
      <c r="F204" s="94"/>
      <c r="G204" s="77"/>
      <c r="H204" s="104"/>
      <c r="I204" s="88"/>
    </row>
    <row r="205" spans="1:9" x14ac:dyDescent="0.35">
      <c r="A205" s="99"/>
      <c r="B205" s="85"/>
      <c r="C205" s="77"/>
      <c r="D205" s="88"/>
      <c r="E205" s="77"/>
      <c r="F205" s="94"/>
      <c r="G205" s="77"/>
      <c r="H205" s="104"/>
      <c r="I205" s="88"/>
    </row>
    <row r="206" spans="1:9" x14ac:dyDescent="0.35">
      <c r="A206" s="99"/>
      <c r="B206" s="85"/>
      <c r="C206" s="77"/>
      <c r="D206" s="88"/>
      <c r="E206" s="77"/>
      <c r="F206" s="94"/>
      <c r="G206" s="77"/>
      <c r="H206" s="104"/>
      <c r="I206" s="88"/>
    </row>
    <row r="207" spans="1:9" x14ac:dyDescent="0.35">
      <c r="A207" s="99"/>
      <c r="B207" s="85"/>
      <c r="C207" s="77"/>
      <c r="D207" s="88"/>
      <c r="E207" s="77"/>
      <c r="F207" s="94"/>
      <c r="G207" s="77"/>
      <c r="H207" s="104"/>
      <c r="I207" s="88"/>
    </row>
    <row r="208" spans="1:9" x14ac:dyDescent="0.35">
      <c r="A208" s="99"/>
      <c r="B208" s="85"/>
      <c r="C208" s="77"/>
      <c r="D208" s="88"/>
      <c r="E208" s="77"/>
      <c r="F208" s="94"/>
      <c r="G208" s="77"/>
      <c r="H208" s="104"/>
      <c r="I208" s="88"/>
    </row>
    <row r="209" spans="1:9" x14ac:dyDescent="0.35">
      <c r="A209" s="99"/>
      <c r="B209" s="85"/>
      <c r="C209" s="77"/>
      <c r="D209" s="88"/>
      <c r="E209" s="77"/>
      <c r="F209" s="94"/>
      <c r="G209" s="77"/>
      <c r="H209" s="104"/>
      <c r="I209" s="88"/>
    </row>
    <row r="210" spans="1:9" x14ac:dyDescent="0.35">
      <c r="A210" s="99"/>
      <c r="B210" s="85"/>
      <c r="C210" s="77"/>
      <c r="D210" s="88"/>
      <c r="E210" s="77"/>
      <c r="F210" s="94"/>
      <c r="G210" s="77"/>
      <c r="H210" s="104"/>
      <c r="I210" s="88"/>
    </row>
    <row r="211" spans="1:9" x14ac:dyDescent="0.35">
      <c r="A211" s="99"/>
      <c r="B211" s="85"/>
      <c r="C211" s="77"/>
      <c r="D211" s="88"/>
      <c r="E211" s="77"/>
      <c r="F211" s="94"/>
      <c r="G211" s="77"/>
    </row>
    <row r="212" spans="1:9" x14ac:dyDescent="0.35">
      <c r="B212" s="86"/>
    </row>
    <row r="213" spans="1:9" x14ac:dyDescent="0.35">
      <c r="B213" s="86"/>
    </row>
    <row r="214" spans="1:9" x14ac:dyDescent="0.35">
      <c r="B214" s="86"/>
    </row>
    <row r="215" spans="1:9" x14ac:dyDescent="0.35">
      <c r="B215" s="86"/>
    </row>
    <row r="216" spans="1:9" x14ac:dyDescent="0.35">
      <c r="B216" s="86"/>
    </row>
    <row r="217" spans="1:9" x14ac:dyDescent="0.35">
      <c r="B217" s="86"/>
    </row>
    <row r="218" spans="1:9" x14ac:dyDescent="0.35">
      <c r="B218" s="86"/>
    </row>
    <row r="219" spans="1:9" x14ac:dyDescent="0.35">
      <c r="B219" s="86"/>
    </row>
    <row r="220" spans="1:9" x14ac:dyDescent="0.35">
      <c r="B220" s="86"/>
    </row>
    <row r="221" spans="1:9" x14ac:dyDescent="0.35">
      <c r="B221" s="86"/>
    </row>
    <row r="222" spans="1:9" x14ac:dyDescent="0.35">
      <c r="B222" s="86"/>
    </row>
    <row r="223" spans="1:9" x14ac:dyDescent="0.35">
      <c r="B223" s="86"/>
    </row>
    <row r="224" spans="1:9" x14ac:dyDescent="0.35">
      <c r="B224" s="86"/>
    </row>
    <row r="225" spans="2:2" x14ac:dyDescent="0.35">
      <c r="B225" s="86"/>
    </row>
    <row r="226" spans="2:2" x14ac:dyDescent="0.35">
      <c r="B226" s="86"/>
    </row>
    <row r="227" spans="2:2" x14ac:dyDescent="0.35">
      <c r="B227" s="86"/>
    </row>
    <row r="228" spans="2:2" x14ac:dyDescent="0.35">
      <c r="B228" s="86"/>
    </row>
    <row r="229" spans="2:2" x14ac:dyDescent="0.35">
      <c r="B229" s="86"/>
    </row>
    <row r="230" spans="2:2" x14ac:dyDescent="0.35">
      <c r="B230" s="86"/>
    </row>
    <row r="231" spans="2:2" x14ac:dyDescent="0.35">
      <c r="B231" s="86"/>
    </row>
    <row r="232" spans="2:2" x14ac:dyDescent="0.35">
      <c r="B232" s="86"/>
    </row>
    <row r="233" spans="2:2" x14ac:dyDescent="0.35">
      <c r="B233" s="86"/>
    </row>
    <row r="234" spans="2:2" x14ac:dyDescent="0.35">
      <c r="B234" s="86"/>
    </row>
    <row r="235" spans="2:2" x14ac:dyDescent="0.35">
      <c r="B235" s="86"/>
    </row>
    <row r="236" spans="2:2" x14ac:dyDescent="0.35">
      <c r="B236" s="86"/>
    </row>
    <row r="237" spans="2:2" x14ac:dyDescent="0.35">
      <c r="B237" s="86"/>
    </row>
    <row r="238" spans="2:2" x14ac:dyDescent="0.35">
      <c r="B238" s="86"/>
    </row>
    <row r="239" spans="2:2" x14ac:dyDescent="0.35">
      <c r="B239" s="86"/>
    </row>
    <row r="240" spans="2:2" x14ac:dyDescent="0.35">
      <c r="B240" s="86"/>
    </row>
    <row r="241" spans="2:2" x14ac:dyDescent="0.35">
      <c r="B241" s="86"/>
    </row>
    <row r="242" spans="2:2" x14ac:dyDescent="0.35">
      <c r="B242" s="86"/>
    </row>
    <row r="243" spans="2:2" x14ac:dyDescent="0.35">
      <c r="B243" s="86"/>
    </row>
    <row r="244" spans="2:2" x14ac:dyDescent="0.35">
      <c r="B244" s="86"/>
    </row>
    <row r="245" spans="2:2" x14ac:dyDescent="0.35">
      <c r="B245" s="86"/>
    </row>
    <row r="246" spans="2:2" x14ac:dyDescent="0.35">
      <c r="B246" s="86"/>
    </row>
    <row r="247" spans="2:2" x14ac:dyDescent="0.35">
      <c r="B247" s="86"/>
    </row>
    <row r="248" spans="2:2" x14ac:dyDescent="0.35">
      <c r="B248" s="86"/>
    </row>
    <row r="249" spans="2:2" x14ac:dyDescent="0.35">
      <c r="B249" s="86"/>
    </row>
    <row r="250" spans="2:2" x14ac:dyDescent="0.35">
      <c r="B250" s="86"/>
    </row>
    <row r="251" spans="2:2" x14ac:dyDescent="0.35">
      <c r="B251" s="86"/>
    </row>
    <row r="252" spans="2:2" x14ac:dyDescent="0.35">
      <c r="B252" s="86"/>
    </row>
    <row r="253" spans="2:2" x14ac:dyDescent="0.35">
      <c r="B253" s="86"/>
    </row>
    <row r="254" spans="2:2" x14ac:dyDescent="0.35">
      <c r="B254" s="86"/>
    </row>
    <row r="255" spans="2:2" x14ac:dyDescent="0.35">
      <c r="B255" s="86"/>
    </row>
    <row r="256" spans="2:2" x14ac:dyDescent="0.35">
      <c r="B256" s="86"/>
    </row>
    <row r="257" spans="2:2" x14ac:dyDescent="0.35">
      <c r="B257" s="86"/>
    </row>
    <row r="258" spans="2:2" x14ac:dyDescent="0.35">
      <c r="B258" s="86"/>
    </row>
    <row r="259" spans="2:2" x14ac:dyDescent="0.35">
      <c r="B259" s="86"/>
    </row>
    <row r="260" spans="2:2" x14ac:dyDescent="0.35">
      <c r="B260" s="86"/>
    </row>
    <row r="261" spans="2:2" x14ac:dyDescent="0.35">
      <c r="B261" s="86"/>
    </row>
    <row r="262" spans="2:2" x14ac:dyDescent="0.35">
      <c r="B262" s="86"/>
    </row>
    <row r="263" spans="2:2" x14ac:dyDescent="0.35">
      <c r="B263" s="86"/>
    </row>
    <row r="264" spans="2:2" x14ac:dyDescent="0.35">
      <c r="B264" s="86"/>
    </row>
    <row r="265" spans="2:2" x14ac:dyDescent="0.35">
      <c r="B265" s="86"/>
    </row>
    <row r="266" spans="2:2" x14ac:dyDescent="0.35">
      <c r="B266" s="86"/>
    </row>
    <row r="267" spans="2:2" x14ac:dyDescent="0.35">
      <c r="B267" s="86"/>
    </row>
    <row r="268" spans="2:2" x14ac:dyDescent="0.35">
      <c r="B268" s="86"/>
    </row>
    <row r="269" spans="2:2" x14ac:dyDescent="0.35">
      <c r="B269" s="86"/>
    </row>
    <row r="270" spans="2:2" x14ac:dyDescent="0.35">
      <c r="B270" s="86"/>
    </row>
    <row r="271" spans="2:2" x14ac:dyDescent="0.35">
      <c r="B271" s="86"/>
    </row>
    <row r="272" spans="2:2" x14ac:dyDescent="0.35">
      <c r="B272" s="86"/>
    </row>
    <row r="273" spans="2:2" x14ac:dyDescent="0.35">
      <c r="B273" s="86"/>
    </row>
    <row r="274" spans="2:2" x14ac:dyDescent="0.35">
      <c r="B274" s="86"/>
    </row>
    <row r="275" spans="2:2" x14ac:dyDescent="0.35">
      <c r="B275" s="86"/>
    </row>
    <row r="276" spans="2:2" x14ac:dyDescent="0.35">
      <c r="B276" s="86"/>
    </row>
    <row r="277" spans="2:2" x14ac:dyDescent="0.35">
      <c r="B277" s="86"/>
    </row>
    <row r="278" spans="2:2" x14ac:dyDescent="0.35">
      <c r="B278" s="86"/>
    </row>
    <row r="279" spans="2:2" x14ac:dyDescent="0.35">
      <c r="B279" s="86"/>
    </row>
    <row r="280" spans="2:2" x14ac:dyDescent="0.35">
      <c r="B280" s="86"/>
    </row>
    <row r="281" spans="2:2" x14ac:dyDescent="0.35">
      <c r="B281" s="86"/>
    </row>
    <row r="282" spans="2:2" x14ac:dyDescent="0.35">
      <c r="B282" s="86"/>
    </row>
    <row r="283" spans="2:2" x14ac:dyDescent="0.35">
      <c r="B283" s="86"/>
    </row>
    <row r="284" spans="2:2" x14ac:dyDescent="0.35">
      <c r="B284" s="86"/>
    </row>
    <row r="285" spans="2:2" x14ac:dyDescent="0.35">
      <c r="B285" s="86"/>
    </row>
    <row r="286" spans="2:2" x14ac:dyDescent="0.35">
      <c r="B286" s="86"/>
    </row>
    <row r="287" spans="2:2" x14ac:dyDescent="0.35">
      <c r="B287" s="86"/>
    </row>
    <row r="288" spans="2:2" x14ac:dyDescent="0.35">
      <c r="B288" s="86"/>
    </row>
    <row r="289" spans="2:2" x14ac:dyDescent="0.35">
      <c r="B289" s="86"/>
    </row>
    <row r="290" spans="2:2" x14ac:dyDescent="0.35">
      <c r="B290" s="86"/>
    </row>
    <row r="291" spans="2:2" x14ac:dyDescent="0.35">
      <c r="B291" s="86"/>
    </row>
    <row r="292" spans="2:2" x14ac:dyDescent="0.35">
      <c r="B292" s="86"/>
    </row>
    <row r="293" spans="2:2" x14ac:dyDescent="0.35">
      <c r="B293" s="86"/>
    </row>
    <row r="294" spans="2:2" x14ac:dyDescent="0.35">
      <c r="B294" s="86"/>
    </row>
    <row r="295" spans="2:2" x14ac:dyDescent="0.35">
      <c r="B295" s="86"/>
    </row>
    <row r="296" spans="2:2" x14ac:dyDescent="0.35">
      <c r="B296" s="86"/>
    </row>
    <row r="297" spans="2:2" x14ac:dyDescent="0.35">
      <c r="B297" s="86"/>
    </row>
    <row r="298" spans="2:2" x14ac:dyDescent="0.35">
      <c r="B298" s="86"/>
    </row>
    <row r="299" spans="2:2" x14ac:dyDescent="0.35">
      <c r="B299" s="86"/>
    </row>
    <row r="300" spans="2:2" x14ac:dyDescent="0.35">
      <c r="B300" s="86"/>
    </row>
    <row r="301" spans="2:2" x14ac:dyDescent="0.35">
      <c r="B301" s="86"/>
    </row>
    <row r="302" spans="2:2" x14ac:dyDescent="0.35">
      <c r="B302" s="86"/>
    </row>
    <row r="303" spans="2:2" x14ac:dyDescent="0.35">
      <c r="B303" s="86"/>
    </row>
    <row r="304" spans="2:2" x14ac:dyDescent="0.35">
      <c r="B304" s="86"/>
    </row>
    <row r="305" spans="2:2" x14ac:dyDescent="0.35">
      <c r="B305" s="86"/>
    </row>
    <row r="306" spans="2:2" x14ac:dyDescent="0.35">
      <c r="B306" s="86"/>
    </row>
    <row r="307" spans="2:2" x14ac:dyDescent="0.35">
      <c r="B307" s="86"/>
    </row>
    <row r="308" spans="2:2" x14ac:dyDescent="0.35">
      <c r="B308" s="86"/>
    </row>
    <row r="309" spans="2:2" x14ac:dyDescent="0.35">
      <c r="B309" s="86"/>
    </row>
    <row r="310" spans="2:2" x14ac:dyDescent="0.35">
      <c r="B310" s="86"/>
    </row>
    <row r="311" spans="2:2" x14ac:dyDescent="0.35">
      <c r="B311" s="86"/>
    </row>
    <row r="312" spans="2:2" x14ac:dyDescent="0.35">
      <c r="B312" s="86"/>
    </row>
    <row r="313" spans="2:2" x14ac:dyDescent="0.35">
      <c r="B313" s="86"/>
    </row>
    <row r="314" spans="2:2" x14ac:dyDescent="0.35">
      <c r="B314" s="86"/>
    </row>
    <row r="315" spans="2:2" x14ac:dyDescent="0.35">
      <c r="B315" s="86"/>
    </row>
    <row r="316" spans="2:2" x14ac:dyDescent="0.35">
      <c r="B316" s="86"/>
    </row>
    <row r="317" spans="2:2" x14ac:dyDescent="0.35">
      <c r="B317" s="86"/>
    </row>
    <row r="318" spans="2:2" x14ac:dyDescent="0.35">
      <c r="B318" s="86"/>
    </row>
    <row r="319" spans="2:2" x14ac:dyDescent="0.35">
      <c r="B319" s="86"/>
    </row>
    <row r="320" spans="2:2" x14ac:dyDescent="0.35">
      <c r="B320" s="86"/>
    </row>
    <row r="321" spans="2:2" x14ac:dyDescent="0.35">
      <c r="B321" s="86"/>
    </row>
    <row r="322" spans="2:2" x14ac:dyDescent="0.35">
      <c r="B322" s="86"/>
    </row>
    <row r="323" spans="2:2" x14ac:dyDescent="0.35">
      <c r="B323" s="86"/>
    </row>
    <row r="324" spans="2:2" x14ac:dyDescent="0.35">
      <c r="B324" s="86"/>
    </row>
    <row r="325" spans="2:2" x14ac:dyDescent="0.35">
      <c r="B325" s="86"/>
    </row>
    <row r="326" spans="2:2" x14ac:dyDescent="0.35">
      <c r="B326" s="86"/>
    </row>
    <row r="327" spans="2:2" x14ac:dyDescent="0.35">
      <c r="B327" s="86"/>
    </row>
    <row r="328" spans="2:2" x14ac:dyDescent="0.35">
      <c r="B328" s="86"/>
    </row>
    <row r="329" spans="2:2" x14ac:dyDescent="0.35">
      <c r="B329" s="86"/>
    </row>
    <row r="330" spans="2:2" x14ac:dyDescent="0.35">
      <c r="B330" s="86"/>
    </row>
    <row r="331" spans="2:2" x14ac:dyDescent="0.35">
      <c r="B331" s="86"/>
    </row>
    <row r="332" spans="2:2" x14ac:dyDescent="0.35">
      <c r="B332" s="86"/>
    </row>
    <row r="333" spans="2:2" x14ac:dyDescent="0.35">
      <c r="B333" s="86"/>
    </row>
    <row r="334" spans="2:2" x14ac:dyDescent="0.35">
      <c r="B334" s="86"/>
    </row>
    <row r="335" spans="2:2" x14ac:dyDescent="0.35">
      <c r="B335" s="86"/>
    </row>
    <row r="336" spans="2:2" x14ac:dyDescent="0.35">
      <c r="B336" s="86"/>
    </row>
    <row r="337" spans="2:2" x14ac:dyDescent="0.35">
      <c r="B337" s="86"/>
    </row>
    <row r="338" spans="2:2" x14ac:dyDescent="0.35">
      <c r="B338" s="86"/>
    </row>
    <row r="339" spans="2:2" x14ac:dyDescent="0.35">
      <c r="B339" s="86"/>
    </row>
    <row r="340" spans="2:2" x14ac:dyDescent="0.35">
      <c r="B340" s="86"/>
    </row>
    <row r="341" spans="2:2" x14ac:dyDescent="0.35">
      <c r="B341" s="86"/>
    </row>
    <row r="342" spans="2:2" x14ac:dyDescent="0.35">
      <c r="B342" s="86"/>
    </row>
    <row r="343" spans="2:2" x14ac:dyDescent="0.35">
      <c r="B343" s="86"/>
    </row>
    <row r="344" spans="2:2" x14ac:dyDescent="0.35">
      <c r="B344" s="86"/>
    </row>
    <row r="345" spans="2:2" x14ac:dyDescent="0.35">
      <c r="B345" s="86"/>
    </row>
    <row r="346" spans="2:2" x14ac:dyDescent="0.35">
      <c r="B346" s="86"/>
    </row>
    <row r="347" spans="2:2" x14ac:dyDescent="0.35">
      <c r="B347" s="86"/>
    </row>
    <row r="348" spans="2:2" x14ac:dyDescent="0.35">
      <c r="B348" s="86"/>
    </row>
    <row r="349" spans="2:2" x14ac:dyDescent="0.35">
      <c r="B349" s="86"/>
    </row>
    <row r="350" spans="2:2" x14ac:dyDescent="0.35">
      <c r="B350" s="86"/>
    </row>
    <row r="351" spans="2:2" x14ac:dyDescent="0.35">
      <c r="B351" s="86"/>
    </row>
    <row r="352" spans="2:2" x14ac:dyDescent="0.35">
      <c r="B352" s="86"/>
    </row>
    <row r="353" spans="2:2" x14ac:dyDescent="0.35">
      <c r="B353" s="86"/>
    </row>
    <row r="354" spans="2:2" x14ac:dyDescent="0.35">
      <c r="B354" s="86"/>
    </row>
    <row r="355" spans="2:2" x14ac:dyDescent="0.35">
      <c r="B355" s="86"/>
    </row>
    <row r="356" spans="2:2" x14ac:dyDescent="0.35">
      <c r="B356" s="86"/>
    </row>
    <row r="357" spans="2:2" x14ac:dyDescent="0.35">
      <c r="B357" s="86"/>
    </row>
    <row r="358" spans="2:2" x14ac:dyDescent="0.35">
      <c r="B358" s="86"/>
    </row>
    <row r="359" spans="2:2" x14ac:dyDescent="0.35">
      <c r="B359" s="86"/>
    </row>
    <row r="360" spans="2:2" x14ac:dyDescent="0.35">
      <c r="B360" s="86"/>
    </row>
    <row r="361" spans="2:2" x14ac:dyDescent="0.35">
      <c r="B361" s="86"/>
    </row>
    <row r="362" spans="2:2" x14ac:dyDescent="0.35">
      <c r="B362" s="86"/>
    </row>
    <row r="363" spans="2:2" x14ac:dyDescent="0.35">
      <c r="B363" s="86"/>
    </row>
    <row r="364" spans="2:2" x14ac:dyDescent="0.35">
      <c r="B364" s="86"/>
    </row>
    <row r="365" spans="2:2" x14ac:dyDescent="0.35">
      <c r="B365" s="86"/>
    </row>
    <row r="366" spans="2:2" x14ac:dyDescent="0.35">
      <c r="B366" s="86"/>
    </row>
    <row r="367" spans="2:2" x14ac:dyDescent="0.35">
      <c r="B367" s="86"/>
    </row>
    <row r="368" spans="2:2" x14ac:dyDescent="0.35">
      <c r="B368" s="86"/>
    </row>
    <row r="369" spans="2:2" x14ac:dyDescent="0.35">
      <c r="B369" s="86"/>
    </row>
    <row r="370" spans="2:2" x14ac:dyDescent="0.35">
      <c r="B370" s="86"/>
    </row>
    <row r="371" spans="2:2" x14ac:dyDescent="0.35">
      <c r="B371" s="86"/>
    </row>
    <row r="372" spans="2:2" x14ac:dyDescent="0.35">
      <c r="B372" s="86"/>
    </row>
    <row r="373" spans="2:2" x14ac:dyDescent="0.35">
      <c r="B373" s="86"/>
    </row>
    <row r="374" spans="2:2" x14ac:dyDescent="0.35">
      <c r="B374" s="86"/>
    </row>
    <row r="375" spans="2:2" x14ac:dyDescent="0.35">
      <c r="B375" s="86"/>
    </row>
    <row r="376" spans="2:2" x14ac:dyDescent="0.35">
      <c r="B376" s="86"/>
    </row>
    <row r="377" spans="2:2" x14ac:dyDescent="0.35">
      <c r="B377" s="86"/>
    </row>
    <row r="378" spans="2:2" x14ac:dyDescent="0.35">
      <c r="B378" s="86"/>
    </row>
    <row r="379" spans="2:2" x14ac:dyDescent="0.35">
      <c r="B379" s="86"/>
    </row>
    <row r="380" spans="2:2" x14ac:dyDescent="0.35">
      <c r="B380" s="86"/>
    </row>
    <row r="381" spans="2:2" x14ac:dyDescent="0.35">
      <c r="B381" s="86"/>
    </row>
    <row r="382" spans="2:2" x14ac:dyDescent="0.35">
      <c r="B382" s="86"/>
    </row>
    <row r="383" spans="2:2" x14ac:dyDescent="0.35">
      <c r="B383" s="86"/>
    </row>
    <row r="384" spans="2:2" x14ac:dyDescent="0.35">
      <c r="B384" s="86"/>
    </row>
    <row r="385" spans="2:2" x14ac:dyDescent="0.35">
      <c r="B385" s="86"/>
    </row>
    <row r="386" spans="2:2" x14ac:dyDescent="0.35">
      <c r="B386" s="86"/>
    </row>
    <row r="387" spans="2:2" x14ac:dyDescent="0.35">
      <c r="B387" s="86"/>
    </row>
    <row r="388" spans="2:2" x14ac:dyDescent="0.35">
      <c r="B388" s="86"/>
    </row>
    <row r="389" spans="2:2" x14ac:dyDescent="0.35">
      <c r="B389" s="86"/>
    </row>
    <row r="390" spans="2:2" x14ac:dyDescent="0.35">
      <c r="B390" s="86"/>
    </row>
    <row r="391" spans="2:2" x14ac:dyDescent="0.35">
      <c r="B391" s="86"/>
    </row>
    <row r="392" spans="2:2" x14ac:dyDescent="0.35">
      <c r="B392" s="86"/>
    </row>
    <row r="393" spans="2:2" x14ac:dyDescent="0.35">
      <c r="B393" s="86"/>
    </row>
    <row r="394" spans="2:2" x14ac:dyDescent="0.35">
      <c r="B394" s="86"/>
    </row>
    <row r="395" spans="2:2" x14ac:dyDescent="0.35">
      <c r="B395" s="86"/>
    </row>
    <row r="396" spans="2:2" x14ac:dyDescent="0.35">
      <c r="B396" s="86"/>
    </row>
    <row r="397" spans="2:2" x14ac:dyDescent="0.35">
      <c r="B397" s="86"/>
    </row>
    <row r="398" spans="2:2" x14ac:dyDescent="0.35">
      <c r="B398" s="86"/>
    </row>
    <row r="399" spans="2:2" x14ac:dyDescent="0.35">
      <c r="B399" s="86"/>
    </row>
    <row r="400" spans="2:2" x14ac:dyDescent="0.35">
      <c r="B400" s="86"/>
    </row>
    <row r="401" spans="2:2" x14ac:dyDescent="0.35">
      <c r="B401" s="86"/>
    </row>
    <row r="402" spans="2:2" x14ac:dyDescent="0.35">
      <c r="B402" s="86"/>
    </row>
    <row r="403" spans="2:2" x14ac:dyDescent="0.35">
      <c r="B403" s="86"/>
    </row>
    <row r="404" spans="2:2" x14ac:dyDescent="0.35">
      <c r="B404" s="86"/>
    </row>
    <row r="405" spans="2:2" x14ac:dyDescent="0.35">
      <c r="B405" s="86"/>
    </row>
    <row r="406" spans="2:2" x14ac:dyDescent="0.35">
      <c r="B406" s="86"/>
    </row>
    <row r="407" spans="2:2" x14ac:dyDescent="0.35">
      <c r="B407" s="86"/>
    </row>
    <row r="408" spans="2:2" x14ac:dyDescent="0.35">
      <c r="B408" s="86"/>
    </row>
    <row r="409" spans="2:2" x14ac:dyDescent="0.35">
      <c r="B409" s="86"/>
    </row>
    <row r="410" spans="2:2" x14ac:dyDescent="0.35">
      <c r="B410" s="86"/>
    </row>
    <row r="411" spans="2:2" x14ac:dyDescent="0.35">
      <c r="B411" s="86"/>
    </row>
    <row r="412" spans="2:2" x14ac:dyDescent="0.35">
      <c r="B412" s="86"/>
    </row>
    <row r="413" spans="2:2" x14ac:dyDescent="0.35">
      <c r="B413" s="86"/>
    </row>
    <row r="414" spans="2:2" x14ac:dyDescent="0.35">
      <c r="B414" s="86"/>
    </row>
    <row r="415" spans="2:2" x14ac:dyDescent="0.35">
      <c r="B415" s="86"/>
    </row>
    <row r="416" spans="2:2" x14ac:dyDescent="0.35">
      <c r="B416" s="86"/>
    </row>
    <row r="417" spans="2:2" x14ac:dyDescent="0.35">
      <c r="B417" s="86"/>
    </row>
    <row r="418" spans="2:2" x14ac:dyDescent="0.35">
      <c r="B418" s="86"/>
    </row>
    <row r="419" spans="2:2" x14ac:dyDescent="0.35">
      <c r="B419" s="86"/>
    </row>
    <row r="420" spans="2:2" x14ac:dyDescent="0.35">
      <c r="B420" s="86"/>
    </row>
    <row r="421" spans="2:2" x14ac:dyDescent="0.35">
      <c r="B421" s="86"/>
    </row>
    <row r="422" spans="2:2" x14ac:dyDescent="0.35">
      <c r="B422" s="86"/>
    </row>
    <row r="423" spans="2:2" x14ac:dyDescent="0.35">
      <c r="B423" s="86"/>
    </row>
    <row r="424" spans="2:2" x14ac:dyDescent="0.35">
      <c r="B424" s="86"/>
    </row>
    <row r="425" spans="2:2" x14ac:dyDescent="0.35">
      <c r="B425" s="86"/>
    </row>
    <row r="426" spans="2:2" x14ac:dyDescent="0.35">
      <c r="B426" s="86"/>
    </row>
    <row r="427" spans="2:2" x14ac:dyDescent="0.35">
      <c r="B427" s="86"/>
    </row>
    <row r="428" spans="2:2" x14ac:dyDescent="0.35">
      <c r="B428" s="86"/>
    </row>
    <row r="429" spans="2:2" x14ac:dyDescent="0.35">
      <c r="B429" s="86"/>
    </row>
    <row r="430" spans="2:2" x14ac:dyDescent="0.35">
      <c r="B430" s="86"/>
    </row>
    <row r="431" spans="2:2" x14ac:dyDescent="0.35">
      <c r="B431" s="86"/>
    </row>
    <row r="432" spans="2:2" x14ac:dyDescent="0.35">
      <c r="B432" s="86"/>
    </row>
    <row r="433" spans="2:2" x14ac:dyDescent="0.35">
      <c r="B433" s="86"/>
    </row>
    <row r="434" spans="2:2" x14ac:dyDescent="0.35">
      <c r="B434" s="86"/>
    </row>
    <row r="435" spans="2:2" x14ac:dyDescent="0.35">
      <c r="B435" s="86"/>
    </row>
    <row r="436" spans="2:2" x14ac:dyDescent="0.35">
      <c r="B436" s="86"/>
    </row>
    <row r="437" spans="2:2" x14ac:dyDescent="0.35">
      <c r="B437" s="86"/>
    </row>
    <row r="438" spans="2:2" x14ac:dyDescent="0.35">
      <c r="B438" s="86"/>
    </row>
    <row r="439" spans="2:2" x14ac:dyDescent="0.35">
      <c r="B439" s="86"/>
    </row>
    <row r="440" spans="2:2" x14ac:dyDescent="0.35">
      <c r="B440" s="86"/>
    </row>
    <row r="441" spans="2:2" x14ac:dyDescent="0.35">
      <c r="B441" s="86"/>
    </row>
    <row r="442" spans="2:2" x14ac:dyDescent="0.35">
      <c r="B442" s="86"/>
    </row>
    <row r="443" spans="2:2" x14ac:dyDescent="0.35">
      <c r="B443" s="86"/>
    </row>
    <row r="444" spans="2:2" x14ac:dyDescent="0.35">
      <c r="B444" s="86"/>
    </row>
    <row r="445" spans="2:2" x14ac:dyDescent="0.35">
      <c r="B445" s="86"/>
    </row>
    <row r="446" spans="2:2" x14ac:dyDescent="0.35">
      <c r="B446" s="86"/>
    </row>
    <row r="447" spans="2:2" x14ac:dyDescent="0.35">
      <c r="B447" s="86"/>
    </row>
    <row r="448" spans="2:2" x14ac:dyDescent="0.35">
      <c r="B448" s="86"/>
    </row>
    <row r="449" spans="2:2" x14ac:dyDescent="0.35">
      <c r="B449" s="86"/>
    </row>
    <row r="450" spans="2:2" x14ac:dyDescent="0.35">
      <c r="B450" s="86"/>
    </row>
    <row r="451" spans="2:2" x14ac:dyDescent="0.35">
      <c r="B451" s="86"/>
    </row>
    <row r="452" spans="2:2" x14ac:dyDescent="0.35">
      <c r="B452" s="86"/>
    </row>
    <row r="453" spans="2:2" x14ac:dyDescent="0.35">
      <c r="B453" s="86"/>
    </row>
    <row r="454" spans="2:2" x14ac:dyDescent="0.35">
      <c r="B454" s="86"/>
    </row>
    <row r="455" spans="2:2" x14ac:dyDescent="0.35">
      <c r="B455" s="86"/>
    </row>
    <row r="456" spans="2:2" x14ac:dyDescent="0.35">
      <c r="B456" s="86"/>
    </row>
    <row r="457" spans="2:2" x14ac:dyDescent="0.35">
      <c r="B457" s="86"/>
    </row>
    <row r="458" spans="2:2" x14ac:dyDescent="0.35">
      <c r="B458" s="86"/>
    </row>
    <row r="459" spans="2:2" x14ac:dyDescent="0.35">
      <c r="B459" s="86"/>
    </row>
    <row r="460" spans="2:2" x14ac:dyDescent="0.35">
      <c r="B460" s="86"/>
    </row>
    <row r="461" spans="2:2" x14ac:dyDescent="0.35">
      <c r="B461" s="86"/>
    </row>
    <row r="462" spans="2:2" x14ac:dyDescent="0.35">
      <c r="B462" s="86"/>
    </row>
    <row r="463" spans="2:2" x14ac:dyDescent="0.35">
      <c r="B463" s="86"/>
    </row>
    <row r="464" spans="2:2" x14ac:dyDescent="0.35">
      <c r="B464" s="86"/>
    </row>
    <row r="465" spans="2:2" x14ac:dyDescent="0.35">
      <c r="B465" s="86"/>
    </row>
    <row r="466" spans="2:2" x14ac:dyDescent="0.35">
      <c r="B466" s="86"/>
    </row>
    <row r="467" spans="2:2" x14ac:dyDescent="0.35">
      <c r="B467" s="86"/>
    </row>
    <row r="468" spans="2:2" x14ac:dyDescent="0.35">
      <c r="B468" s="86"/>
    </row>
    <row r="469" spans="2:2" x14ac:dyDescent="0.35">
      <c r="B469" s="86"/>
    </row>
    <row r="470" spans="2:2" x14ac:dyDescent="0.35">
      <c r="B470" s="86"/>
    </row>
    <row r="471" spans="2:2" x14ac:dyDescent="0.35">
      <c r="B471" s="86"/>
    </row>
    <row r="472" spans="2:2" x14ac:dyDescent="0.35">
      <c r="B472" s="86"/>
    </row>
    <row r="473" spans="2:2" x14ac:dyDescent="0.35">
      <c r="B473" s="86"/>
    </row>
    <row r="474" spans="2:2" x14ac:dyDescent="0.35">
      <c r="B474" s="86"/>
    </row>
    <row r="475" spans="2:2" x14ac:dyDescent="0.35">
      <c r="B475" s="86"/>
    </row>
    <row r="476" spans="2:2" x14ac:dyDescent="0.35">
      <c r="B476" s="86"/>
    </row>
  </sheetData>
  <sheetProtection sheet="1" objects="1" scenarios="1"/>
  <sortState xmlns:xlrd2="http://schemas.microsoft.com/office/spreadsheetml/2017/richdata2" ref="A4:I180">
    <sortCondition ref="A4:A180"/>
    <sortCondition ref="B4:B180"/>
  </sortState>
  <mergeCells count="2">
    <mergeCell ref="C1:G1"/>
    <mergeCell ref="I1:K1"/>
  </mergeCells>
  <pageMargins left="0.7" right="0.7" top="0.75" bottom="0.75" header="0.3" footer="0.3"/>
  <pageSetup paperSize="9" orientation="portrait" horizontalDpi="4294967293" r:id="rId1"/>
  <headerFooter>
    <oddHeader>&amp;C&amp;"Arial Black"&amp;20Grand prix Oyeu-Burcin 2026</oddHeader>
    <oddFooter>&amp;C&amp;"Arial"&amp;G&amp;12AB =&gt; abandon        NC =&gt; non classé, arrivée en peloton        NP =&gt; non partant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21</vt:i4>
      </vt:variant>
      <vt:variant>
        <vt:lpstr>Plages nommées</vt:lpstr>
      </vt:variant>
      <vt:variant>
        <vt:i4>2</vt:i4>
      </vt:variant>
    </vt:vector>
  </HeadingPairs>
  <TitlesOfParts>
    <vt:vector size="23" baseType="lpstr">
      <vt:lpstr>Données</vt:lpstr>
      <vt:lpstr>Accueil</vt:lpstr>
      <vt:lpstr>U1</vt:lpstr>
      <vt:lpstr>U2</vt:lpstr>
      <vt:lpstr>U3</vt:lpstr>
      <vt:lpstr>U4</vt:lpstr>
      <vt:lpstr>UFEM</vt:lpstr>
      <vt:lpstr>H15_16</vt:lpstr>
      <vt:lpstr>F15_16</vt:lpstr>
      <vt:lpstr>H13_14</vt:lpstr>
      <vt:lpstr>F13_14</vt:lpstr>
      <vt:lpstr>Classement U1</vt:lpstr>
      <vt:lpstr>Classement U2</vt:lpstr>
      <vt:lpstr>Classement U3</vt:lpstr>
      <vt:lpstr>Classement U4</vt:lpstr>
      <vt:lpstr>Classement UFEM</vt:lpstr>
      <vt:lpstr>Classement H15_16</vt:lpstr>
      <vt:lpstr>Classement F15_16</vt:lpstr>
      <vt:lpstr>Classement H13_14</vt:lpstr>
      <vt:lpstr>Classement F13_14</vt:lpstr>
      <vt:lpstr>Cartes UFOLEP</vt:lpstr>
      <vt:lpstr>Fédérations</vt:lpstr>
      <vt:lpstr>Rang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Ufolep1</dc:creator>
  <cp:lastModifiedBy>christophe DOHEN</cp:lastModifiedBy>
  <cp:lastPrinted>2026-04-06T18:47:05Z</cp:lastPrinted>
  <dcterms:created xsi:type="dcterms:W3CDTF">2018-02-02T11:51:45Z</dcterms:created>
  <dcterms:modified xsi:type="dcterms:W3CDTF">2026-04-07T07:10:26Z</dcterms:modified>
</cp:coreProperties>
</file>