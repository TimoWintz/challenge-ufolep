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V280976\Downloads\"/>
    </mc:Choice>
  </mc:AlternateContent>
  <xr:revisionPtr revIDLastSave="0" documentId="13_ncr:1_{53B54612-238F-410A-8232-F4A4528094BB}" xr6:coauthVersionLast="47" xr6:coauthVersionMax="47" xr10:uidLastSave="{00000000-0000-0000-0000-000000000000}"/>
  <bookViews>
    <workbookView xWindow="-28920" yWindow="-60" windowWidth="29040" windowHeight="15720" firstSheet="1" activeTab="1" xr2:uid="{1FBB2416-1F67-4D5D-BA06-84306020A599}"/>
  </bookViews>
  <sheets>
    <sheet name="REMISE DOSSARDS" sheetId="23" state="hidden" r:id="rId1"/>
    <sheet name="CLASSEMENT FINAL" sheetId="11" r:id="rId2"/>
  </sheets>
  <externalReferences>
    <externalReference r:id="rId3"/>
  </externalReferences>
  <definedNames>
    <definedName name="_xlnm._FilterDatabase" localSheetId="1" hidden="1">'CLASSEMENT FINAL'!$A$77:$L$83</definedName>
    <definedName name="Catégorie">[1]Données!$B$2:$B$14</definedName>
    <definedName name="TpsCLM1">#REF!</definedName>
    <definedName name="TpsCLM2">#REF!</definedName>
    <definedName name="TpsCLM3">#REF!</definedName>
    <definedName name="TpsCLM4">#REF!</definedName>
    <definedName name="TpsCLMFE">#REF!</definedName>
    <definedName name="TpsCLMJE13">#REF!</definedName>
    <definedName name="TpsCLMJE15">#REF!</definedName>
    <definedName name="TpsG1">#REF!</definedName>
    <definedName name="TpsG2">#REF!</definedName>
    <definedName name="TpsG3">#REF!</definedName>
    <definedName name="TpsG4">#REF!</definedName>
    <definedName name="TpsGFE">#REF!</definedName>
    <definedName name="TpsGJE15">#REF!</definedName>
    <definedName name="TpsGrimpee1">#REF!</definedName>
    <definedName name="TpsGrimpee2">#REF!</definedName>
    <definedName name="TpsGrimpee3">#REF!</definedName>
    <definedName name="TpsGrimpee4">#REF!</definedName>
    <definedName name="TpsGrimpeeFE">#REF!</definedName>
    <definedName name="TpsGrimpeeJE1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6" i="11" l="1"/>
  <c r="K10" i="11"/>
  <c r="K28" i="11"/>
  <c r="K61" i="11"/>
  <c r="G74" i="11"/>
  <c r="F74" i="11"/>
  <c r="E74" i="11"/>
  <c r="D74" i="11"/>
  <c r="C74" i="11"/>
  <c r="L74" i="11"/>
  <c r="H74" i="11"/>
  <c r="L64" i="11"/>
  <c r="L63" i="11"/>
  <c r="L67" i="11"/>
  <c r="H81" i="11"/>
  <c r="G81" i="11"/>
  <c r="E81" i="11"/>
  <c r="D81" i="11"/>
  <c r="C81" i="11"/>
  <c r="H83" i="11"/>
  <c r="G83" i="11"/>
  <c r="F83" i="11"/>
  <c r="E83" i="11"/>
  <c r="D83" i="11"/>
  <c r="C83" i="11"/>
  <c r="H79" i="11"/>
  <c r="G79" i="11"/>
  <c r="F79" i="11"/>
  <c r="E79" i="11"/>
  <c r="D79" i="11"/>
  <c r="C79" i="11"/>
  <c r="H82" i="11"/>
  <c r="G82" i="11"/>
  <c r="F82" i="11"/>
  <c r="E82" i="11"/>
  <c r="D82" i="11"/>
  <c r="C82" i="11"/>
  <c r="H78" i="11"/>
  <c r="G78" i="11"/>
  <c r="F78" i="11"/>
  <c r="E78" i="11"/>
  <c r="D78" i="11"/>
  <c r="C78" i="11"/>
  <c r="H80" i="11"/>
  <c r="G80" i="11"/>
  <c r="E80" i="11"/>
  <c r="D80" i="11"/>
  <c r="C80" i="11"/>
  <c r="L81" i="11"/>
  <c r="L79" i="11"/>
  <c r="L82" i="11"/>
  <c r="H67" i="11"/>
  <c r="G67" i="11"/>
  <c r="F67" i="11"/>
  <c r="E67" i="11"/>
  <c r="D67" i="11"/>
  <c r="C67" i="11"/>
  <c r="H69" i="11"/>
  <c r="G69" i="11"/>
  <c r="F69" i="11"/>
  <c r="E69" i="11"/>
  <c r="D69" i="11"/>
  <c r="C69" i="11"/>
  <c r="H63" i="11"/>
  <c r="G63" i="11"/>
  <c r="E63" i="11"/>
  <c r="D63" i="11"/>
  <c r="C63" i="11"/>
  <c r="H64" i="11"/>
  <c r="G64" i="11"/>
  <c r="E64" i="11"/>
  <c r="D64" i="11"/>
  <c r="C64" i="11"/>
  <c r="H65" i="11"/>
  <c r="G65" i="11"/>
  <c r="F65" i="11"/>
  <c r="E65" i="11"/>
  <c r="D65" i="11"/>
  <c r="C65" i="11"/>
  <c r="H66" i="11"/>
  <c r="G66" i="11"/>
  <c r="E66" i="11"/>
  <c r="D66" i="11"/>
  <c r="C66" i="11"/>
  <c r="H68" i="11"/>
  <c r="G68" i="11"/>
  <c r="E68" i="11"/>
  <c r="D68" i="11"/>
  <c r="C68" i="11"/>
  <c r="H57" i="11"/>
  <c r="G57" i="11"/>
  <c r="F57" i="11"/>
  <c r="E57" i="11"/>
  <c r="D57" i="11"/>
  <c r="C57" i="11"/>
  <c r="H56" i="11"/>
  <c r="G56" i="11"/>
  <c r="F56" i="11"/>
  <c r="E56" i="11"/>
  <c r="D56" i="11"/>
  <c r="C56" i="11"/>
  <c r="H58" i="11"/>
  <c r="G58" i="11"/>
  <c r="F58" i="11"/>
  <c r="E58" i="11"/>
  <c r="D58" i="11"/>
  <c r="C58" i="11"/>
  <c r="H55" i="11"/>
  <c r="G55" i="11"/>
  <c r="F55" i="11"/>
  <c r="E55" i="11"/>
  <c r="D55" i="11"/>
  <c r="C55" i="11"/>
  <c r="H38" i="11"/>
  <c r="G38" i="11"/>
  <c r="E38" i="11"/>
  <c r="D38" i="11"/>
  <c r="C38" i="11"/>
  <c r="H36" i="11"/>
  <c r="G36" i="11"/>
  <c r="E36" i="11"/>
  <c r="D36" i="11"/>
  <c r="C36" i="11"/>
  <c r="H51" i="11"/>
  <c r="G51" i="11"/>
  <c r="F51" i="11"/>
  <c r="E51" i="11"/>
  <c r="D51" i="11"/>
  <c r="C51" i="11"/>
  <c r="H33" i="11"/>
  <c r="G33" i="11"/>
  <c r="F33" i="11"/>
  <c r="E33" i="11"/>
  <c r="D33" i="11"/>
  <c r="C33" i="11"/>
  <c r="H45" i="11"/>
  <c r="G45" i="11"/>
  <c r="F45" i="11"/>
  <c r="E45" i="11"/>
  <c r="D45" i="11"/>
  <c r="C45" i="11"/>
  <c r="H40" i="11"/>
  <c r="G40" i="11"/>
  <c r="F40" i="11"/>
  <c r="E40" i="11"/>
  <c r="D40" i="11"/>
  <c r="C40" i="11"/>
  <c r="H50" i="11"/>
  <c r="G50" i="11"/>
  <c r="F50" i="11"/>
  <c r="E50" i="11"/>
  <c r="D50" i="11"/>
  <c r="C50" i="11"/>
  <c r="H37" i="11"/>
  <c r="G37" i="11"/>
  <c r="F37" i="11"/>
  <c r="E37" i="11"/>
  <c r="D37" i="11"/>
  <c r="C37" i="11"/>
  <c r="H49" i="11"/>
  <c r="G49" i="11"/>
  <c r="F49" i="11"/>
  <c r="E49" i="11"/>
  <c r="D49" i="11"/>
  <c r="C49" i="11"/>
  <c r="H41" i="11"/>
  <c r="G41" i="11"/>
  <c r="F41" i="11"/>
  <c r="E41" i="11"/>
  <c r="D41" i="11"/>
  <c r="C41" i="11"/>
  <c r="H30" i="11"/>
  <c r="G30" i="11"/>
  <c r="F30" i="11"/>
  <c r="E30" i="11"/>
  <c r="D30" i="11"/>
  <c r="C30" i="11"/>
  <c r="H42" i="11"/>
  <c r="G42" i="11"/>
  <c r="F42" i="11"/>
  <c r="E42" i="11"/>
  <c r="D42" i="11"/>
  <c r="C42" i="11"/>
  <c r="H46" i="11"/>
  <c r="G46" i="11"/>
  <c r="F46" i="11"/>
  <c r="E46" i="11"/>
  <c r="D46" i="11"/>
  <c r="C46" i="11"/>
  <c r="H31" i="11"/>
  <c r="G31" i="11"/>
  <c r="F31" i="11"/>
  <c r="E31" i="11"/>
  <c r="D31" i="11"/>
  <c r="C31" i="11"/>
  <c r="H39" i="11"/>
  <c r="G39" i="11"/>
  <c r="F39" i="11"/>
  <c r="E39" i="11"/>
  <c r="D39" i="11"/>
  <c r="C39" i="11"/>
  <c r="H32" i="11"/>
  <c r="G32" i="11"/>
  <c r="F32" i="11"/>
  <c r="E32" i="11"/>
  <c r="D32" i="11"/>
  <c r="C32" i="11"/>
  <c r="H43" i="11"/>
  <c r="G43" i="11"/>
  <c r="F43" i="11"/>
  <c r="E43" i="11"/>
  <c r="D43" i="11"/>
  <c r="C43" i="11"/>
  <c r="H44" i="11"/>
  <c r="G44" i="11"/>
  <c r="F44" i="11"/>
  <c r="E44" i="11"/>
  <c r="D44" i="11"/>
  <c r="C44" i="11"/>
  <c r="H47" i="11"/>
  <c r="G47" i="11"/>
  <c r="F47" i="11"/>
  <c r="E47" i="11"/>
  <c r="D47" i="11"/>
  <c r="C47" i="11"/>
  <c r="H34" i="11"/>
  <c r="G34" i="11"/>
  <c r="F34" i="11"/>
  <c r="E34" i="11"/>
  <c r="D34" i="11"/>
  <c r="C34" i="11"/>
  <c r="H35" i="11"/>
  <c r="G35" i="11"/>
  <c r="F35" i="11"/>
  <c r="E35" i="11"/>
  <c r="D35" i="11"/>
  <c r="C35" i="11"/>
  <c r="H48" i="11"/>
  <c r="G48" i="11"/>
  <c r="F48" i="11"/>
  <c r="E48" i="11"/>
  <c r="D48" i="11"/>
  <c r="C48" i="11"/>
  <c r="H16" i="11"/>
  <c r="G16" i="11"/>
  <c r="F16" i="11"/>
  <c r="E16" i="11"/>
  <c r="D16" i="11"/>
  <c r="C16" i="11"/>
  <c r="H12" i="11"/>
  <c r="G12" i="11"/>
  <c r="F12" i="11"/>
  <c r="E12" i="11"/>
  <c r="D12" i="11"/>
  <c r="C12" i="11"/>
  <c r="H15" i="11"/>
  <c r="G15" i="11"/>
  <c r="F15" i="11"/>
  <c r="E15" i="11"/>
  <c r="D15" i="11"/>
  <c r="C15" i="11"/>
  <c r="H21" i="11"/>
  <c r="G21" i="11"/>
  <c r="F21" i="11"/>
  <c r="E21" i="11"/>
  <c r="D21" i="11"/>
  <c r="C21" i="11"/>
  <c r="H20" i="11"/>
  <c r="G20" i="11"/>
  <c r="F20" i="11"/>
  <c r="E20" i="11"/>
  <c r="D20" i="11"/>
  <c r="C20" i="11"/>
  <c r="H23" i="11"/>
  <c r="G23" i="11"/>
  <c r="F23" i="11"/>
  <c r="E23" i="11"/>
  <c r="D23" i="11"/>
  <c r="C23" i="11"/>
  <c r="H18" i="11"/>
  <c r="G18" i="11"/>
  <c r="F18" i="11"/>
  <c r="E18" i="11"/>
  <c r="D18" i="11"/>
  <c r="C18" i="11"/>
  <c r="H13" i="11"/>
  <c r="G13" i="11"/>
  <c r="E13" i="11"/>
  <c r="D13" i="11"/>
  <c r="C13" i="11"/>
  <c r="H22" i="11"/>
  <c r="G22" i="11"/>
  <c r="E22" i="11"/>
  <c r="D22" i="11"/>
  <c r="C22" i="11"/>
  <c r="H19" i="11"/>
  <c r="G19" i="11"/>
  <c r="E19" i="11"/>
  <c r="D19" i="11"/>
  <c r="C19" i="11"/>
  <c r="H17" i="11"/>
  <c r="G17" i="11"/>
  <c r="F17" i="11"/>
  <c r="E17" i="11"/>
  <c r="D17" i="11"/>
  <c r="C17" i="11"/>
  <c r="H14" i="11"/>
  <c r="G14" i="11"/>
  <c r="E14" i="11"/>
  <c r="D14" i="11"/>
  <c r="C14" i="11"/>
  <c r="C4" i="11"/>
  <c r="D4" i="11"/>
  <c r="E4" i="11"/>
  <c r="G4" i="11"/>
  <c r="H4" i="11"/>
  <c r="C5" i="11"/>
  <c r="D5" i="11"/>
  <c r="E5" i="11"/>
  <c r="G5" i="11"/>
  <c r="H5" i="11"/>
  <c r="C7" i="11"/>
  <c r="D7" i="11"/>
  <c r="E7" i="11"/>
  <c r="F7" i="11"/>
  <c r="G7" i="11"/>
  <c r="H7" i="11"/>
  <c r="C3" i="11"/>
  <c r="D3" i="11"/>
  <c r="E3" i="11"/>
  <c r="F3" i="11"/>
  <c r="G3" i="11"/>
  <c r="H3" i="11"/>
  <c r="H6" i="11"/>
  <c r="G6" i="11"/>
  <c r="E6" i="11"/>
  <c r="D6" i="11"/>
  <c r="C6" i="11"/>
  <c r="A98" i="23" l="1"/>
  <c r="A99" i="23" s="1"/>
  <c r="A80" i="23"/>
  <c r="A63" i="23"/>
  <c r="A35" i="23"/>
  <c r="A18" i="23"/>
  <c r="A81" i="23" l="1"/>
  <c r="A64" i="23"/>
  <c r="A36" i="23"/>
  <c r="A19" i="23"/>
  <c r="A82" i="23" l="1"/>
  <c r="A37" i="23"/>
  <c r="A20" i="23"/>
  <c r="A83" i="23" l="1"/>
  <c r="A38" i="23"/>
  <c r="A21" i="23"/>
  <c r="A84" i="23" l="1"/>
  <c r="A39" i="23"/>
  <c r="A22" i="23"/>
  <c r="A85" i="23" l="1"/>
  <c r="A40" i="23"/>
  <c r="A23" i="23"/>
  <c r="A86" i="23" l="1"/>
  <c r="A41" i="23"/>
  <c r="A24" i="23"/>
  <c r="A42" i="23" l="1"/>
  <c r="A25" i="23"/>
  <c r="A43" i="23" l="1"/>
  <c r="A26" i="23"/>
  <c r="A44" i="23" l="1"/>
  <c r="A27" i="23"/>
  <c r="A45" i="23" l="1"/>
  <c r="A46" i="23" l="1"/>
  <c r="A47" i="23" l="1"/>
  <c r="A48" i="23" l="1"/>
  <c r="A49" i="23" l="1"/>
  <c r="A50" i="23" l="1"/>
  <c r="A51" i="23" l="1"/>
  <c r="A52" i="23" l="1"/>
  <c r="A53" i="23" l="1"/>
  <c r="A54" i="23" l="1"/>
  <c r="A55" i="23" l="1"/>
  <c r="L17" i="11" l="1"/>
  <c r="L18" i="11"/>
  <c r="L19" i="11"/>
  <c r="L13" i="11"/>
  <c r="L20" i="11"/>
  <c r="L15" i="11"/>
  <c r="L16" i="11"/>
  <c r="L12" i="11"/>
  <c r="L6" i="11"/>
  <c r="L4" i="11"/>
  <c r="L3" i="11"/>
  <c r="L80" i="11"/>
  <c r="L78" i="11"/>
  <c r="L66" i="11"/>
  <c r="L65" i="11"/>
  <c r="L68" i="11"/>
  <c r="L56" i="11"/>
  <c r="L57" i="11"/>
  <c r="L55" i="11"/>
  <c r="L44" i="11"/>
  <c r="L31" i="11"/>
  <c r="L46" i="11"/>
  <c r="L32" i="11"/>
  <c r="L39" i="11"/>
  <c r="L34" i="11"/>
  <c r="L30" i="11"/>
  <c r="L45" i="11"/>
  <c r="L43" i="11"/>
  <c r="L47" i="11"/>
  <c r="L40" i="11"/>
  <c r="L49" i="11"/>
  <c r="L41" i="11"/>
  <c r="L50" i="11"/>
  <c r="L42" i="11"/>
  <c r="L36" i="11"/>
  <c r="L33" i="11"/>
  <c r="L38" i="11"/>
  <c r="L37" i="11"/>
  <c r="L48" i="11"/>
  <c r="L35" i="11"/>
  <c r="L14" i="11"/>
  <c r="L5" i="11"/>
  <c r="K53" i="11"/>
  <c r="K1" i="11"/>
</calcChain>
</file>

<file path=xl/sharedStrings.xml><?xml version="1.0" encoding="utf-8"?>
<sst xmlns="http://schemas.openxmlformats.org/spreadsheetml/2006/main" count="543" uniqueCount="163">
  <si>
    <t>Dossard</t>
  </si>
  <si>
    <t>Nom</t>
  </si>
  <si>
    <t>Prénom</t>
  </si>
  <si>
    <t>H/F</t>
  </si>
  <si>
    <t>Club</t>
  </si>
  <si>
    <t>Catégorie</t>
  </si>
  <si>
    <t>Fédération</t>
  </si>
  <si>
    <t>JE13</t>
  </si>
  <si>
    <t>UC VOIRON</t>
  </si>
  <si>
    <t>Florent</t>
  </si>
  <si>
    <t>JE15</t>
  </si>
  <si>
    <t>TEAM 3 MASSIFS</t>
  </si>
  <si>
    <t>FE</t>
  </si>
  <si>
    <t>F</t>
  </si>
  <si>
    <t>LE FONTANIL CYCLISME</t>
  </si>
  <si>
    <t>UC RIVES</t>
  </si>
  <si>
    <t>Pierre</t>
  </si>
  <si>
    <t>LA TRONCHE VELO SPORT</t>
  </si>
  <si>
    <t>Mathieu</t>
  </si>
  <si>
    <t>Nicolas</t>
  </si>
  <si>
    <t>VIAL</t>
  </si>
  <si>
    <t>Classement</t>
  </si>
  <si>
    <t>Catégorie:</t>
  </si>
  <si>
    <t>Nombre partants :</t>
  </si>
  <si>
    <t>Points Prologue</t>
  </si>
  <si>
    <t>Points grimpée</t>
  </si>
  <si>
    <t>Points ligne</t>
  </si>
  <si>
    <t>TOTAL POINTS</t>
  </si>
  <si>
    <t>Présent ?</t>
  </si>
  <si>
    <t>GILLES</t>
  </si>
  <si>
    <t>BESCOND</t>
  </si>
  <si>
    <t>NP</t>
  </si>
  <si>
    <t>AB</t>
  </si>
  <si>
    <t>SELIN</t>
  </si>
  <si>
    <t>HAGE</t>
  </si>
  <si>
    <t>FABIEN</t>
  </si>
  <si>
    <t>PIERRE</t>
  </si>
  <si>
    <t>STEPHANE</t>
  </si>
  <si>
    <t>MATHIEU</t>
  </si>
  <si>
    <t>UNION CYCLISTE VOIRONNAISE</t>
  </si>
  <si>
    <t>JULIEN</t>
  </si>
  <si>
    <t>ALPIN'S WHEEL TEAM</t>
  </si>
  <si>
    <t>SEBASTIEN</t>
  </si>
  <si>
    <t>SUD GRESIVAUDAN CYCLISME</t>
  </si>
  <si>
    <t>PIGNEDE</t>
  </si>
  <si>
    <t>CYCLO CLUB DE GIERES</t>
  </si>
  <si>
    <t>MALO</t>
  </si>
  <si>
    <t>TROLL TEAM TRIATHLON</t>
  </si>
  <si>
    <t>DIDIER</t>
  </si>
  <si>
    <t>JARRIE CHAMP SUR DRAC CYCLISME</t>
  </si>
  <si>
    <t>CARTIER</t>
  </si>
  <si>
    <t>GERRAND</t>
  </si>
  <si>
    <t>ANTONY</t>
  </si>
  <si>
    <t>BENOIT</t>
  </si>
  <si>
    <t>MORACCHIOLI</t>
  </si>
  <si>
    <t>THOMAS</t>
  </si>
  <si>
    <t>PUDELKO</t>
  </si>
  <si>
    <t>SEVOZ</t>
  </si>
  <si>
    <t>ARNAUD</t>
  </si>
  <si>
    <t>UHRY</t>
  </si>
  <si>
    <t>WILLY</t>
  </si>
  <si>
    <t>CARRE</t>
  </si>
  <si>
    <t>HERVE</t>
  </si>
  <si>
    <t>DEBUCK</t>
  </si>
  <si>
    <t>LAURENT</t>
  </si>
  <si>
    <t>UNION CYCLISTE DE PONTCHARRA GRESIVAUDAN</t>
  </si>
  <si>
    <t>SORDET</t>
  </si>
  <si>
    <t>ABADIE</t>
  </si>
  <si>
    <t>GIROD</t>
  </si>
  <si>
    <t>ANNA</t>
  </si>
  <si>
    <t>JOACHIM</t>
  </si>
  <si>
    <t>HERNANDEZ</t>
  </si>
  <si>
    <t>RAFAEL</t>
  </si>
  <si>
    <t>REBOUL</t>
  </si>
  <si>
    <t>THIMOTHEE</t>
  </si>
  <si>
    <t>LOIC</t>
  </si>
  <si>
    <t>LILY-ANNE</t>
  </si>
  <si>
    <t>NOE</t>
  </si>
  <si>
    <t>CARRILLO</t>
  </si>
  <si>
    <t>Elouan</t>
  </si>
  <si>
    <t>UFO</t>
  </si>
  <si>
    <t>LADURELLE</t>
  </si>
  <si>
    <t>LMSC</t>
  </si>
  <si>
    <t>PAUTASSO</t>
  </si>
  <si>
    <t>Alexis</t>
  </si>
  <si>
    <t>Triptyque 2026</t>
  </si>
  <si>
    <t>BRETIN</t>
  </si>
  <si>
    <t>MANOE</t>
  </si>
  <si>
    <t>U.C. VOIRONNAISE</t>
  </si>
  <si>
    <t>C2S</t>
  </si>
  <si>
    <t>JANIN</t>
  </si>
  <si>
    <t>TOM</t>
  </si>
  <si>
    <t>SADOT</t>
  </si>
  <si>
    <t>Baptiste</t>
  </si>
  <si>
    <t>CERESA</t>
  </si>
  <si>
    <t>JEAN FRANCOIS</t>
  </si>
  <si>
    <t>TEAM VERCORS</t>
  </si>
  <si>
    <t>TIMOTHE</t>
  </si>
  <si>
    <t>GAMBINI</t>
  </si>
  <si>
    <t>ELIOTT</t>
  </si>
  <si>
    <t>VS2M</t>
  </si>
  <si>
    <t>PELLERIN</t>
  </si>
  <si>
    <t>Xavier</t>
  </si>
  <si>
    <t>BOSQUELLE</t>
  </si>
  <si>
    <t>TAO</t>
  </si>
  <si>
    <t>BRAGAGNOLO</t>
  </si>
  <si>
    <t>LEO</t>
  </si>
  <si>
    <t>CLAQUIN</t>
  </si>
  <si>
    <t>FONTANIL TRIATHLON</t>
  </si>
  <si>
    <t>COLLETTE</t>
  </si>
  <si>
    <t>MAXIME</t>
  </si>
  <si>
    <t>DE FLAUGERGUES</t>
  </si>
  <si>
    <t>FRANCOIS</t>
  </si>
  <si>
    <t>DELETROY</t>
  </si>
  <si>
    <t>AXEL</t>
  </si>
  <si>
    <t>DOHEN</t>
  </si>
  <si>
    <t>CHRISTOPHE</t>
  </si>
  <si>
    <t>BONNEFILLE</t>
  </si>
  <si>
    <t>ROMAIN</t>
  </si>
  <si>
    <t>BUCCI</t>
  </si>
  <si>
    <t>GREGORY</t>
  </si>
  <si>
    <t>CANDEIAS</t>
  </si>
  <si>
    <t>DAMIEN</t>
  </si>
  <si>
    <t>DORCE-MICHEL</t>
  </si>
  <si>
    <t>STEVENSON</t>
  </si>
  <si>
    <t>GENET</t>
  </si>
  <si>
    <t>Sebastien</t>
  </si>
  <si>
    <t>GIANNONE</t>
  </si>
  <si>
    <t>JOSEPH</t>
  </si>
  <si>
    <t>JACQUET</t>
  </si>
  <si>
    <t>PATRICELLI</t>
  </si>
  <si>
    <t>RAMBAUD</t>
  </si>
  <si>
    <t>RIVERO</t>
  </si>
  <si>
    <t>SCISCIOLI</t>
  </si>
  <si>
    <t>LEONARD</t>
  </si>
  <si>
    <t>SEITE</t>
  </si>
  <si>
    <t>ALAIN</t>
  </si>
  <si>
    <t>ALESSANDRI</t>
  </si>
  <si>
    <t>DRIOT</t>
  </si>
  <si>
    <t>Marion</t>
  </si>
  <si>
    <t>KARINE</t>
  </si>
  <si>
    <t>LAVERDURE CELIA</t>
  </si>
  <si>
    <t>GRIMAUD</t>
  </si>
  <si>
    <t>Corinne</t>
  </si>
  <si>
    <t>CAPRON</t>
  </si>
  <si>
    <t>Alain</t>
  </si>
  <si>
    <t>U.C. DE L'OISANS</t>
  </si>
  <si>
    <t>MERLO</t>
  </si>
  <si>
    <t>Raphaël</t>
  </si>
  <si>
    <t>GUTRI</t>
  </si>
  <si>
    <t>Sophia</t>
  </si>
  <si>
    <t>H</t>
  </si>
  <si>
    <t xml:space="preserve">HURSON </t>
  </si>
  <si>
    <t>Ufolep 1</t>
  </si>
  <si>
    <t>Ufolep 2</t>
  </si>
  <si>
    <t>Ufolep 4</t>
  </si>
  <si>
    <t>U13/14</t>
  </si>
  <si>
    <t>U15/16</t>
  </si>
  <si>
    <t>U Fem</t>
  </si>
  <si>
    <t>Ufolep 3</t>
  </si>
  <si>
    <t>Triptyque 2026
FINAL</t>
  </si>
  <si>
    <t>NC</t>
  </si>
  <si>
    <t>JE15 Fem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</si>
</sst>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0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Arial"/>
      <family val="2"/>
    </font>
    <font>
      <sz val="11"/>
      <color theme="4"/>
      <name val="Calibri"/>
      <family val="2"/>
      <scheme val="minor"/>
    </font>
    <font>
      <b/>
      <sz val="10"/>
      <color theme="4"/>
      <name val="Arial"/>
      <family val="2"/>
    </font>
    <font>
      <b/>
      <sz val="20"/>
      <color theme="4"/>
      <name val="Arial"/>
      <family val="2"/>
    </font>
    <font>
      <sz val="10"/>
      <color theme="4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2"/>
      <color rgb="FF00B050"/>
      <name val="Arial"/>
      <family val="2"/>
    </font>
    <font>
      <b/>
      <sz val="14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0"/>
      <color rgb="FF00B050"/>
      <name val="Arial"/>
      <family val="2"/>
    </font>
    <font>
      <b/>
      <sz val="20"/>
      <color rgb="FF00B050"/>
      <name val="Arial"/>
      <family val="2"/>
    </font>
    <font>
      <sz val="10"/>
      <color rgb="FF00B050"/>
      <name val="Arial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11" fillId="0" borderId="0" applyBorder="0"/>
  </cellStyleXfs>
  <cellXfs count="118">
    <xf numFmtId="0" fontId="0" fillId="0" borderId="0" xfId="0"/>
    <xf numFmtId="0" fontId="3" fillId="2" borderId="2" xfId="0" applyFont="1" applyFill="1" applyBorder="1" applyAlignment="1" applyProtection="1">
      <alignment horizontal="center" vertical="center"/>
      <protection hidden="1"/>
    </xf>
    <xf numFmtId="49" fontId="4" fillId="3" borderId="3" xfId="0" applyNumberFormat="1" applyFont="1" applyFill="1" applyBorder="1" applyAlignment="1" applyProtection="1">
      <alignment horizontal="center" vertical="center"/>
      <protection hidden="1"/>
    </xf>
    <xf numFmtId="164" fontId="4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4" fillId="3" borderId="3" xfId="0" applyFont="1" applyFill="1" applyBorder="1" applyAlignment="1" applyProtection="1">
      <alignment horizontal="center" vertical="center" wrapText="1"/>
      <protection hidden="1"/>
    </xf>
    <xf numFmtId="49" fontId="4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left" vertical="center" wrapText="1" indent="1"/>
      <protection hidden="1"/>
    </xf>
    <xf numFmtId="0" fontId="6" fillId="0" borderId="3" xfId="0" applyFont="1" applyBorder="1" applyAlignment="1" applyProtection="1">
      <alignment horizontal="center" vertical="center" wrapText="1"/>
      <protection hidden="1"/>
    </xf>
    <xf numFmtId="49" fontId="3" fillId="2" borderId="2" xfId="0" applyNumberFormat="1" applyFont="1" applyFill="1" applyBorder="1" applyAlignment="1" applyProtection="1">
      <alignment vertical="center"/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49" fontId="2" fillId="2" borderId="2" xfId="0" applyNumberFormat="1" applyFont="1" applyFill="1" applyBorder="1" applyAlignment="1" applyProtection="1">
      <alignment horizontal="right" vertical="center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6" fillId="0" borderId="3" xfId="0" applyFont="1" applyBorder="1" applyAlignment="1" applyProtection="1">
      <alignment horizontal="left" vertical="center" wrapText="1" inden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left" vertical="center" wrapText="1" indent="1"/>
      <protection hidden="1"/>
    </xf>
    <xf numFmtId="0" fontId="8" fillId="0" borderId="3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left" vertical="center" wrapText="1" indent="1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1" fontId="6" fillId="0" borderId="3" xfId="0" applyNumberFormat="1" applyFont="1" applyBorder="1" applyAlignment="1" applyProtection="1">
      <alignment horizontal="center" vertical="center" wrapText="1"/>
      <protection hidden="1"/>
    </xf>
    <xf numFmtId="0" fontId="0" fillId="0" borderId="2" xfId="0" applyBorder="1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4" xfId="0" applyBorder="1"/>
    <xf numFmtId="0" fontId="5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 wrapText="1" indent="1"/>
      <protection hidden="1"/>
    </xf>
    <xf numFmtId="0" fontId="6" fillId="0" borderId="0" xfId="0" applyFont="1" applyAlignment="1" applyProtection="1">
      <alignment horizontal="left" vertical="center" wrapText="1" indent="1"/>
      <protection hidden="1"/>
    </xf>
    <xf numFmtId="165" fontId="6" fillId="0" borderId="0" xfId="0" applyNumberFormat="1" applyFont="1" applyAlignment="1" applyProtection="1">
      <alignment horizontal="center" vertical="center" wrapText="1"/>
      <protection hidden="1"/>
    </xf>
    <xf numFmtId="164" fontId="6" fillId="0" borderId="0" xfId="0" applyNumberFormat="1" applyFont="1" applyAlignment="1" applyProtection="1">
      <alignment horizontal="center" vertical="center"/>
      <protection locked="0"/>
    </xf>
    <xf numFmtId="2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2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 wrapText="1" inden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/>
      <protection hidden="1"/>
    </xf>
    <xf numFmtId="0" fontId="13" fillId="2" borderId="2" xfId="0" applyFont="1" applyFill="1" applyBorder="1" applyAlignment="1" applyProtection="1">
      <alignment horizontal="center" vertical="center"/>
      <protection hidden="1"/>
    </xf>
    <xf numFmtId="0" fontId="14" fillId="0" borderId="2" xfId="0" applyFont="1" applyBorder="1"/>
    <xf numFmtId="49" fontId="13" fillId="2" borderId="2" xfId="0" applyNumberFormat="1" applyFont="1" applyFill="1" applyBorder="1" applyAlignment="1" applyProtection="1">
      <alignment vertical="center"/>
      <protection hidden="1"/>
    </xf>
    <xf numFmtId="0" fontId="14" fillId="0" borderId="4" xfId="0" applyFont="1" applyBorder="1"/>
    <xf numFmtId="49" fontId="15" fillId="3" borderId="3" xfId="0" applyNumberFormat="1" applyFont="1" applyFill="1" applyBorder="1" applyAlignment="1" applyProtection="1">
      <alignment horizontal="center" vertical="center"/>
      <protection hidden="1"/>
    </xf>
    <xf numFmtId="164" fontId="15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15" fillId="3" borderId="3" xfId="0" applyFont="1" applyFill="1" applyBorder="1" applyAlignment="1" applyProtection="1">
      <alignment horizontal="center" vertical="center" wrapText="1"/>
      <protection hidden="1"/>
    </xf>
    <xf numFmtId="49" fontId="15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3" xfId="0" applyFont="1" applyBorder="1" applyAlignment="1" applyProtection="1">
      <alignment horizontal="center" vertic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left" vertical="center" wrapText="1" indent="1"/>
      <protection hidden="1"/>
    </xf>
    <xf numFmtId="0" fontId="17" fillId="0" borderId="3" xfId="0" applyFont="1" applyBorder="1" applyAlignment="1" applyProtection="1">
      <alignment horizontal="center" vertical="center" wrapText="1"/>
      <protection hidden="1"/>
    </xf>
    <xf numFmtId="0" fontId="17" fillId="0" borderId="3" xfId="0" applyFont="1" applyBorder="1" applyAlignment="1" applyProtection="1">
      <alignment horizontal="center" vertical="center"/>
      <protection hidden="1"/>
    </xf>
    <xf numFmtId="0" fontId="17" fillId="0" borderId="3" xfId="0" applyFont="1" applyBorder="1" applyAlignment="1" applyProtection="1">
      <alignment horizontal="left" vertical="center" wrapText="1" indent="1"/>
      <protection hidden="1"/>
    </xf>
    <xf numFmtId="0" fontId="19" fillId="2" borderId="2" xfId="0" applyFont="1" applyFill="1" applyBorder="1" applyAlignment="1" applyProtection="1">
      <alignment horizontal="center" vertical="center"/>
      <protection hidden="1"/>
    </xf>
    <xf numFmtId="0" fontId="1" fillId="0" borderId="2" xfId="0" applyFont="1" applyBorder="1"/>
    <xf numFmtId="49" fontId="19" fillId="2" borderId="2" xfId="0" applyNumberFormat="1" applyFont="1" applyFill="1" applyBorder="1" applyAlignment="1" applyProtection="1">
      <alignment vertical="center"/>
      <protection hidden="1"/>
    </xf>
    <xf numFmtId="0" fontId="1" fillId="0" borderId="4" xfId="0" applyFont="1" applyBorder="1"/>
    <xf numFmtId="49" fontId="7" fillId="3" borderId="3" xfId="0" applyNumberFormat="1" applyFont="1" applyFill="1" applyBorder="1" applyAlignment="1" applyProtection="1">
      <alignment horizontal="center" vertical="center"/>
      <protection hidden="1"/>
    </xf>
    <xf numFmtId="164" fontId="7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3" borderId="3" xfId="0" applyFont="1" applyFill="1" applyBorder="1" applyAlignment="1" applyProtection="1">
      <alignment horizontal="center" vertical="center" wrapText="1"/>
      <protection hidden="1"/>
    </xf>
    <xf numFmtId="49" fontId="7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wrapText="1" indent="1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 vertical="center" wrapText="1" indent="1"/>
      <protection hidden="1"/>
    </xf>
    <xf numFmtId="0" fontId="21" fillId="2" borderId="2" xfId="0" applyFont="1" applyFill="1" applyBorder="1" applyAlignment="1" applyProtection="1">
      <alignment horizontal="center" vertical="center"/>
      <protection hidden="1"/>
    </xf>
    <xf numFmtId="0" fontId="22" fillId="0" borderId="2" xfId="0" applyFont="1" applyBorder="1"/>
    <xf numFmtId="49" fontId="21" fillId="2" borderId="2" xfId="0" applyNumberFormat="1" applyFont="1" applyFill="1" applyBorder="1" applyAlignment="1" applyProtection="1">
      <alignment vertical="center"/>
      <protection hidden="1"/>
    </xf>
    <xf numFmtId="0" fontId="22" fillId="0" borderId="4" xfId="0" applyFont="1" applyBorder="1"/>
    <xf numFmtId="49" fontId="23" fillId="3" borderId="3" xfId="0" applyNumberFormat="1" applyFont="1" applyFill="1" applyBorder="1" applyAlignment="1" applyProtection="1">
      <alignment horizontal="center" vertical="center"/>
      <protection hidden="1"/>
    </xf>
    <xf numFmtId="164" fontId="23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23" fillId="3" borderId="3" xfId="0" applyFont="1" applyFill="1" applyBorder="1" applyAlignment="1" applyProtection="1">
      <alignment horizontal="center" vertical="center" wrapText="1"/>
      <protection hidden="1"/>
    </xf>
    <xf numFmtId="49" fontId="23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3" xfId="0" applyFont="1" applyBorder="1" applyAlignment="1" applyProtection="1">
      <alignment horizontal="center" vertical="center"/>
      <protection hidden="1"/>
    </xf>
    <xf numFmtId="0" fontId="23" fillId="0" borderId="3" xfId="0" applyFont="1" applyBorder="1" applyAlignment="1" applyProtection="1">
      <alignment horizontal="center" vertical="center"/>
      <protection hidden="1"/>
    </xf>
    <xf numFmtId="0" fontId="22" fillId="0" borderId="3" xfId="0" applyFont="1" applyBorder="1" applyAlignment="1" applyProtection="1">
      <alignment horizontal="left" vertical="center" wrapText="1" indent="1"/>
      <protection hidden="1"/>
    </xf>
    <xf numFmtId="0" fontId="25" fillId="0" borderId="3" xfId="0" applyFont="1" applyBorder="1" applyAlignment="1" applyProtection="1">
      <alignment horizontal="center" vertical="center" wrapText="1"/>
      <protection hidden="1"/>
    </xf>
    <xf numFmtId="0" fontId="25" fillId="0" borderId="3" xfId="0" applyFont="1" applyBorder="1" applyAlignment="1" applyProtection="1">
      <alignment horizontal="center" vertical="center"/>
      <protection hidden="1"/>
    </xf>
    <xf numFmtId="0" fontId="25" fillId="0" borderId="3" xfId="0" applyFont="1" applyBorder="1" applyAlignment="1" applyProtection="1">
      <alignment horizontal="left" vertical="center" wrapText="1" indent="1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center" wrapText="1" inden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left" vertical="center" wrapText="1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left" vertical="center" wrapText="1" indent="1"/>
      <protection hidden="1"/>
    </xf>
    <xf numFmtId="0" fontId="17" fillId="0" borderId="2" xfId="0" applyFont="1" applyBorder="1" applyAlignment="1" applyProtection="1">
      <alignment horizontal="center" vertical="center" wrapText="1"/>
      <protection hidden="1"/>
    </xf>
    <xf numFmtId="0" fontId="17" fillId="0" borderId="2" xfId="0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left" vertical="center" wrapText="1" indent="1"/>
      <protection hidden="1"/>
    </xf>
    <xf numFmtId="49" fontId="18" fillId="2" borderId="1" xfId="0" applyNumberFormat="1" applyFont="1" applyFill="1" applyBorder="1" applyAlignment="1" applyProtection="1">
      <alignment horizontal="center" vertical="center"/>
      <protection hidden="1"/>
    </xf>
    <xf numFmtId="49" fontId="18" fillId="2" borderId="2" xfId="0" applyNumberFormat="1" applyFont="1" applyFill="1" applyBorder="1" applyAlignment="1" applyProtection="1">
      <alignment horizontal="center" vertical="center"/>
      <protection hidden="1"/>
    </xf>
    <xf numFmtId="49" fontId="19" fillId="2" borderId="2" xfId="0" applyNumberFormat="1" applyFont="1" applyFill="1" applyBorder="1" applyAlignment="1" applyProtection="1">
      <alignment horizontal="center" vertical="center" wrapText="1"/>
      <protection hidden="1"/>
    </xf>
    <xf numFmtId="49" fontId="20" fillId="2" borderId="1" xfId="0" applyNumberFormat="1" applyFont="1" applyFill="1" applyBorder="1" applyAlignment="1" applyProtection="1">
      <alignment horizontal="center" vertical="center"/>
      <protection hidden="1"/>
    </xf>
    <xf numFmtId="49" fontId="20" fillId="2" borderId="2" xfId="0" applyNumberFormat="1" applyFont="1" applyFill="1" applyBorder="1" applyAlignment="1" applyProtection="1">
      <alignment horizontal="center" vertical="center"/>
      <protection hidden="1"/>
    </xf>
    <xf numFmtId="49" fontId="21" fillId="2" borderId="2" xfId="0" applyNumberFormat="1" applyFont="1" applyFill="1" applyBorder="1" applyAlignment="1" applyProtection="1">
      <alignment horizontal="center" vertical="center" wrapText="1"/>
      <protection hidden="1"/>
    </xf>
    <xf numFmtId="49" fontId="12" fillId="2" borderId="1" xfId="0" applyNumberFormat="1" applyFont="1" applyFill="1" applyBorder="1" applyAlignment="1" applyProtection="1">
      <alignment horizontal="center" vertical="center"/>
      <protection hidden="1"/>
    </xf>
    <xf numFmtId="49" fontId="12" fillId="2" borderId="2" xfId="0" applyNumberFormat="1" applyFont="1" applyFill="1" applyBorder="1" applyAlignment="1" applyProtection="1">
      <alignment horizontal="center" vertical="center"/>
      <protection hidden="1"/>
    </xf>
    <xf numFmtId="49" fontId="13" fillId="2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/>
      <protection hidden="1"/>
    </xf>
    <xf numFmtId="49" fontId="2" fillId="2" borderId="2" xfId="0" applyNumberFormat="1" applyFont="1" applyFill="1" applyBorder="1" applyAlignment="1" applyProtection="1">
      <alignment horizontal="center" vertical="center"/>
      <protection hidden="1"/>
    </xf>
    <xf numFmtId="49" fontId="3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26" fillId="0" borderId="0" xfId="0" applyFont="1"/>
    <xf numFmtId="0" fontId="4" fillId="6" borderId="3" xfId="0" applyFon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left" vertical="center" wrapText="1" indent="1"/>
      <protection hidden="1"/>
    </xf>
    <xf numFmtId="0" fontId="6" fillId="6" borderId="3" xfId="0" applyFont="1" applyFill="1" applyBorder="1" applyAlignment="1" applyProtection="1">
      <alignment horizontal="center" vertical="center" wrapText="1"/>
      <protection hidden="1"/>
    </xf>
    <xf numFmtId="1" fontId="2" fillId="6" borderId="3" xfId="0" applyNumberFormat="1" applyFont="1" applyFill="1" applyBorder="1" applyAlignment="1" applyProtection="1">
      <alignment horizontal="center" vertical="center" wrapText="1"/>
      <protection hidden="1"/>
    </xf>
    <xf numFmtId="1" fontId="6" fillId="6" borderId="3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left" vertical="center" wrapText="1" inden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left" vertical="center" wrapText="1" indent="1"/>
      <protection hidden="1"/>
    </xf>
  </cellXfs>
  <cellStyles count="3">
    <cellStyle name="Normal" xfId="0" builtinId="0"/>
    <cellStyle name="Normal 2" xfId="1" xr:uid="{A123EEE2-50BB-40DE-B78E-98F6695C7DC6}"/>
    <cellStyle name="Normal 3" xfId="2" xr:uid="{B85BBCEF-54C0-4A24-9122-EC47D196F46B}"/>
  </cellStyles>
  <dxfs count="4">
    <dxf>
      <fill>
        <patternFill>
          <bgColor rgb="FF6EE600"/>
        </patternFill>
      </fill>
    </dxf>
    <dxf>
      <fill>
        <patternFill>
          <bgColor rgb="FF6EE600"/>
        </patternFill>
      </fill>
    </dxf>
    <dxf>
      <fill>
        <patternFill>
          <bgColor rgb="FF6EE600"/>
        </patternFill>
      </fill>
    </dxf>
    <dxf>
      <fill>
        <patternFill>
          <bgColor rgb="FF6EE6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pic1/Documents/Fontanil%20Cyclisme/Triptyque/ChronometrageV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Paramètres"/>
      <sheetName val="Inscriptions"/>
      <sheetName val="Mails"/>
      <sheetName val="Mails essai"/>
      <sheetName val="Départ"/>
      <sheetName val="ClocK"/>
      <sheetName val="U1"/>
      <sheetName val="U2"/>
      <sheetName val="U3"/>
      <sheetName val="U4"/>
      <sheetName val="UFem"/>
      <sheetName val="UJeunes"/>
      <sheetName val="Scratch"/>
      <sheetName val="Scratch Fem"/>
      <sheetName val="Stats"/>
      <sheetName val="A"/>
      <sheetName val="B"/>
      <sheetName val="C"/>
      <sheetName val="D"/>
      <sheetName val="E"/>
      <sheetName val="F"/>
      <sheetName val="G"/>
      <sheetName val="H"/>
      <sheetName val="J"/>
      <sheetName val="K"/>
      <sheetName val="L"/>
      <sheetName val="M"/>
    </sheetNames>
    <sheetDataSet>
      <sheetData sheetId="0">
        <row r="2">
          <cell r="B2" t="str">
            <v>UFOLEP 1</v>
          </cell>
        </row>
        <row r="3">
          <cell r="B3" t="str">
            <v>UFOLEP 2</v>
          </cell>
        </row>
        <row r="4">
          <cell r="B4" t="str">
            <v>UFOLEP 3</v>
          </cell>
        </row>
        <row r="5">
          <cell r="B5" t="str">
            <v>UFOLEP 4A</v>
          </cell>
        </row>
        <row r="6">
          <cell r="B6" t="str">
            <v>UFOLEP 4B</v>
          </cell>
        </row>
        <row r="7">
          <cell r="B7" t="str">
            <v>UFOLEP Fem</v>
          </cell>
        </row>
        <row r="8">
          <cell r="B8" t="str">
            <v>UFOLEP jeunes</v>
          </cell>
        </row>
        <row r="9">
          <cell r="B9" t="str">
            <v>FFC</v>
          </cell>
        </row>
        <row r="10">
          <cell r="B10" t="str">
            <v>FFCT</v>
          </cell>
        </row>
        <row r="11">
          <cell r="B11" t="str">
            <v>FSGT</v>
          </cell>
        </row>
        <row r="12">
          <cell r="B12" t="str">
            <v>FFTRI</v>
          </cell>
        </row>
        <row r="13">
          <cell r="B13" t="str">
            <v>non licencié</v>
          </cell>
        </row>
        <row r="14">
          <cell r="B14" t="str">
            <v>autre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FC934-3CDB-418D-8C1D-061CC08A7CAE}">
  <sheetPr>
    <tabColor theme="4"/>
    <pageSetUpPr fitToPage="1"/>
  </sheetPr>
  <dimension ref="A1:H102"/>
  <sheetViews>
    <sheetView showGridLines="0" topLeftCell="A76" zoomScale="70" zoomScaleNormal="70" workbookViewId="0">
      <selection activeCell="F94" sqref="F94"/>
    </sheetView>
  </sheetViews>
  <sheetFormatPr baseColWidth="10" defaultRowHeight="14.4" x14ac:dyDescent="0.3"/>
  <cols>
    <col min="3" max="3" width="17.33203125" customWidth="1"/>
    <col min="4" max="4" width="17.109375" customWidth="1"/>
    <col min="7" max="7" width="21.44140625" customWidth="1"/>
    <col min="8" max="8" width="34.5546875" customWidth="1"/>
  </cols>
  <sheetData>
    <row r="1" spans="1:8" ht="51.75" customHeight="1" x14ac:dyDescent="0.3">
      <c r="A1" s="103" t="s">
        <v>22</v>
      </c>
      <c r="B1" s="104"/>
      <c r="C1" s="1">
        <v>1</v>
      </c>
      <c r="D1" s="22"/>
      <c r="E1" s="105" t="s">
        <v>85</v>
      </c>
      <c r="F1" s="105"/>
      <c r="G1" s="9"/>
      <c r="H1" s="24"/>
    </row>
    <row r="2" spans="1:8" x14ac:dyDescent="0.3">
      <c r="A2" s="2" t="s">
        <v>0</v>
      </c>
      <c r="B2" s="3" t="s">
        <v>28</v>
      </c>
      <c r="C2" s="4" t="s">
        <v>1</v>
      </c>
      <c r="D2" s="5" t="s">
        <v>2</v>
      </c>
      <c r="E2" s="4" t="s">
        <v>3</v>
      </c>
      <c r="F2" s="4" t="s">
        <v>6</v>
      </c>
      <c r="G2" s="5" t="s">
        <v>5</v>
      </c>
      <c r="H2" s="5" t="s">
        <v>4</v>
      </c>
    </row>
    <row r="3" spans="1:8" ht="24.6" x14ac:dyDescent="0.3">
      <c r="A3" s="6">
        <v>1</v>
      </c>
      <c r="B3" s="20"/>
      <c r="C3" s="8" t="s">
        <v>94</v>
      </c>
      <c r="D3" s="8" t="s">
        <v>95</v>
      </c>
      <c r="E3" s="8" t="s">
        <v>151</v>
      </c>
      <c r="F3" s="8"/>
      <c r="G3" s="8" t="s">
        <v>153</v>
      </c>
      <c r="H3" s="8" t="s">
        <v>96</v>
      </c>
    </row>
    <row r="4" spans="1:8" ht="24.6" x14ac:dyDescent="0.3">
      <c r="A4" s="6">
        <v>2</v>
      </c>
      <c r="B4" s="20"/>
      <c r="C4" s="8" t="s">
        <v>94</v>
      </c>
      <c r="D4" s="8" t="s">
        <v>97</v>
      </c>
      <c r="E4" s="8" t="s">
        <v>151</v>
      </c>
      <c r="F4" s="8"/>
      <c r="G4" s="8" t="s">
        <v>153</v>
      </c>
      <c r="H4" s="8" t="s">
        <v>96</v>
      </c>
    </row>
    <row r="5" spans="1:8" ht="24.6" x14ac:dyDescent="0.3">
      <c r="A5" s="6">
        <v>3</v>
      </c>
      <c r="B5" s="20"/>
      <c r="C5" s="8" t="s">
        <v>98</v>
      </c>
      <c r="D5" s="8" t="s">
        <v>99</v>
      </c>
      <c r="E5" s="8" t="s">
        <v>151</v>
      </c>
      <c r="F5" s="8"/>
      <c r="G5" s="8" t="s">
        <v>153</v>
      </c>
      <c r="H5" s="8" t="s">
        <v>100</v>
      </c>
    </row>
    <row r="6" spans="1:8" ht="24.6" x14ac:dyDescent="0.3">
      <c r="A6" s="6">
        <v>4</v>
      </c>
      <c r="B6" s="20"/>
      <c r="C6" s="8" t="s">
        <v>101</v>
      </c>
      <c r="D6" s="8" t="s">
        <v>102</v>
      </c>
      <c r="E6" s="8" t="s">
        <v>151</v>
      </c>
      <c r="F6" s="8" t="s">
        <v>80</v>
      </c>
      <c r="G6" s="8" t="s">
        <v>153</v>
      </c>
      <c r="H6" s="8" t="s">
        <v>41</v>
      </c>
    </row>
    <row r="7" spans="1:8" ht="24.6" x14ac:dyDescent="0.3">
      <c r="A7" s="6">
        <v>5</v>
      </c>
      <c r="B7" s="20"/>
      <c r="C7" s="8" t="s">
        <v>54</v>
      </c>
      <c r="D7" s="8" t="s">
        <v>55</v>
      </c>
      <c r="E7" s="8" t="s">
        <v>151</v>
      </c>
      <c r="F7" s="8" t="s">
        <v>80</v>
      </c>
      <c r="G7" s="8" t="s">
        <v>153</v>
      </c>
      <c r="H7" s="8" t="s">
        <v>11</v>
      </c>
    </row>
    <row r="8" spans="1:8" ht="24.6" x14ac:dyDescent="0.3">
      <c r="A8" s="6"/>
      <c r="B8" s="20"/>
      <c r="C8" s="8"/>
      <c r="D8" s="8"/>
      <c r="E8" s="8"/>
      <c r="F8" s="8"/>
      <c r="G8" s="8"/>
      <c r="H8" s="8"/>
    </row>
    <row r="9" spans="1:8" ht="24.6" x14ac:dyDescent="0.3">
      <c r="A9" s="6"/>
      <c r="B9" s="20"/>
      <c r="C9" s="8"/>
      <c r="D9" s="8"/>
      <c r="E9" s="8"/>
      <c r="F9" s="8"/>
      <c r="G9" s="8"/>
      <c r="H9" s="8"/>
    </row>
    <row r="10" spans="1:8" ht="24.6" x14ac:dyDescent="0.3">
      <c r="A10" s="6"/>
      <c r="B10" s="20"/>
      <c r="C10" s="8"/>
      <c r="D10" s="8"/>
      <c r="E10" s="8"/>
      <c r="F10" s="8"/>
      <c r="G10" s="8"/>
      <c r="H10" s="8"/>
    </row>
    <row r="11" spans="1:8" ht="24.6" x14ac:dyDescent="0.3">
      <c r="A11" s="6"/>
      <c r="B11" s="20"/>
      <c r="C11" s="8"/>
      <c r="D11" s="8"/>
      <c r="E11" s="8"/>
      <c r="F11" s="8"/>
      <c r="G11" s="8"/>
      <c r="H11" s="8"/>
    </row>
    <row r="12" spans="1:8" ht="24.6" x14ac:dyDescent="0.3">
      <c r="A12" s="6"/>
      <c r="B12" s="20"/>
      <c r="C12" s="8"/>
      <c r="D12" s="8"/>
      <c r="E12" s="8"/>
      <c r="F12" s="8"/>
      <c r="G12" s="8"/>
      <c r="H12" s="8"/>
    </row>
    <row r="13" spans="1:8" ht="24.6" x14ac:dyDescent="0.3">
      <c r="A13" s="25"/>
      <c r="B13" s="26"/>
      <c r="C13" s="27"/>
      <c r="D13" s="27"/>
      <c r="E13" s="12"/>
      <c r="F13" s="12"/>
      <c r="G13" s="14"/>
      <c r="H13" s="28"/>
    </row>
    <row r="14" spans="1:8" ht="51.75" customHeight="1" x14ac:dyDescent="0.3">
      <c r="A14" s="100" t="s">
        <v>22</v>
      </c>
      <c r="B14" s="101"/>
      <c r="C14" s="40">
        <v>2</v>
      </c>
      <c r="D14" s="41"/>
      <c r="E14" s="102" t="s">
        <v>85</v>
      </c>
      <c r="F14" s="102"/>
      <c r="G14" s="42"/>
      <c r="H14" s="43"/>
    </row>
    <row r="15" spans="1:8" x14ac:dyDescent="0.3">
      <c r="A15" s="44" t="s">
        <v>0</v>
      </c>
      <c r="B15" s="45" t="s">
        <v>28</v>
      </c>
      <c r="C15" s="46" t="s">
        <v>1</v>
      </c>
      <c r="D15" s="47" t="s">
        <v>2</v>
      </c>
      <c r="E15" s="46" t="s">
        <v>3</v>
      </c>
      <c r="F15" s="46" t="s">
        <v>6</v>
      </c>
      <c r="G15" s="47" t="s">
        <v>5</v>
      </c>
      <c r="H15" s="47" t="s">
        <v>4</v>
      </c>
    </row>
    <row r="16" spans="1:8" ht="24.6" x14ac:dyDescent="0.3">
      <c r="A16" s="48">
        <v>6</v>
      </c>
      <c r="B16" s="49"/>
      <c r="C16" s="50" t="s">
        <v>103</v>
      </c>
      <c r="D16" s="50" t="s">
        <v>104</v>
      </c>
      <c r="E16" s="51" t="s">
        <v>151</v>
      </c>
      <c r="F16" s="51"/>
      <c r="G16" s="52" t="s">
        <v>154</v>
      </c>
      <c r="H16" s="53" t="s">
        <v>47</v>
      </c>
    </row>
    <row r="17" spans="1:8" ht="24.6" x14ac:dyDescent="0.3">
      <c r="A17" s="48">
        <v>7</v>
      </c>
      <c r="B17" s="49"/>
      <c r="C17" s="50" t="s">
        <v>54</v>
      </c>
      <c r="D17" s="50" t="s">
        <v>77</v>
      </c>
      <c r="E17" s="51" t="s">
        <v>151</v>
      </c>
      <c r="F17" s="51" t="s">
        <v>80</v>
      </c>
      <c r="G17" s="52" t="s">
        <v>154</v>
      </c>
      <c r="H17" s="53" t="s">
        <v>11</v>
      </c>
    </row>
    <row r="18" spans="1:8" ht="24.6" x14ac:dyDescent="0.3">
      <c r="A18" s="48">
        <f t="shared" ref="A18:A27" si="0">A17+1</f>
        <v>8</v>
      </c>
      <c r="B18" s="49"/>
      <c r="C18" s="50" t="s">
        <v>67</v>
      </c>
      <c r="D18" s="50" t="s">
        <v>46</v>
      </c>
      <c r="E18" s="51" t="s">
        <v>151</v>
      </c>
      <c r="F18" s="51"/>
      <c r="G18" s="52" t="s">
        <v>154</v>
      </c>
      <c r="H18" s="53" t="s">
        <v>47</v>
      </c>
    </row>
    <row r="19" spans="1:8" ht="24.6" x14ac:dyDescent="0.3">
      <c r="A19" s="48">
        <f t="shared" si="0"/>
        <v>9</v>
      </c>
      <c r="B19" s="49"/>
      <c r="C19" s="50" t="s">
        <v>105</v>
      </c>
      <c r="D19" s="50" t="s">
        <v>106</v>
      </c>
      <c r="E19" s="51" t="s">
        <v>151</v>
      </c>
      <c r="F19" s="51"/>
      <c r="G19" s="52" t="s">
        <v>154</v>
      </c>
      <c r="H19" s="53" t="s">
        <v>15</v>
      </c>
    </row>
    <row r="20" spans="1:8" ht="24.6" x14ac:dyDescent="0.3">
      <c r="A20" s="48">
        <f t="shared" si="0"/>
        <v>10</v>
      </c>
      <c r="B20" s="49"/>
      <c r="C20" s="50" t="s">
        <v>107</v>
      </c>
      <c r="D20" s="50" t="s">
        <v>38</v>
      </c>
      <c r="E20" s="51" t="s">
        <v>151</v>
      </c>
      <c r="F20" s="51"/>
      <c r="G20" s="52" t="s">
        <v>154</v>
      </c>
      <c r="H20" s="53" t="s">
        <v>108</v>
      </c>
    </row>
    <row r="21" spans="1:8" ht="24.6" x14ac:dyDescent="0.3">
      <c r="A21" s="48">
        <f t="shared" si="0"/>
        <v>11</v>
      </c>
      <c r="B21" s="49"/>
      <c r="C21" s="50" t="s">
        <v>109</v>
      </c>
      <c r="D21" s="50" t="s">
        <v>110</v>
      </c>
      <c r="E21" s="51" t="s">
        <v>151</v>
      </c>
      <c r="F21" s="51" t="s">
        <v>80</v>
      </c>
      <c r="G21" s="52" t="s">
        <v>154</v>
      </c>
      <c r="H21" s="53" t="s">
        <v>11</v>
      </c>
    </row>
    <row r="22" spans="1:8" ht="24.6" x14ac:dyDescent="0.3">
      <c r="A22" s="48">
        <f t="shared" si="0"/>
        <v>12</v>
      </c>
      <c r="B22" s="49"/>
      <c r="C22" s="50" t="s">
        <v>111</v>
      </c>
      <c r="D22" s="50" t="s">
        <v>112</v>
      </c>
      <c r="E22" s="51" t="s">
        <v>151</v>
      </c>
      <c r="F22" s="51" t="s">
        <v>80</v>
      </c>
      <c r="G22" s="52" t="s">
        <v>154</v>
      </c>
      <c r="H22" s="53" t="s">
        <v>43</v>
      </c>
    </row>
    <row r="23" spans="1:8" ht="24.6" x14ac:dyDescent="0.3">
      <c r="A23" s="48">
        <f t="shared" si="0"/>
        <v>13</v>
      </c>
      <c r="B23" s="49"/>
      <c r="C23" s="50" t="s">
        <v>113</v>
      </c>
      <c r="D23" s="50" t="s">
        <v>114</v>
      </c>
      <c r="E23" s="51" t="s">
        <v>151</v>
      </c>
      <c r="F23" s="51" t="s">
        <v>80</v>
      </c>
      <c r="G23" s="52" t="s">
        <v>154</v>
      </c>
      <c r="H23" s="53" t="s">
        <v>14</v>
      </c>
    </row>
    <row r="24" spans="1:8" ht="24.6" x14ac:dyDescent="0.3">
      <c r="A24" s="48">
        <f t="shared" si="0"/>
        <v>14</v>
      </c>
      <c r="B24" s="49"/>
      <c r="C24" s="50" t="s">
        <v>115</v>
      </c>
      <c r="D24" s="50" t="s">
        <v>116</v>
      </c>
      <c r="E24" s="51" t="s">
        <v>151</v>
      </c>
      <c r="F24" s="51" t="s">
        <v>80</v>
      </c>
      <c r="G24" s="52" t="s">
        <v>154</v>
      </c>
      <c r="H24" s="53" t="s">
        <v>45</v>
      </c>
    </row>
    <row r="25" spans="1:8" ht="24.6" x14ac:dyDescent="0.3">
      <c r="A25" s="48">
        <f t="shared" si="0"/>
        <v>15</v>
      </c>
      <c r="B25" s="49"/>
      <c r="C25" s="50" t="s">
        <v>56</v>
      </c>
      <c r="D25" s="50" t="s">
        <v>42</v>
      </c>
      <c r="E25" s="51" t="s">
        <v>151</v>
      </c>
      <c r="F25" s="51" t="s">
        <v>80</v>
      </c>
      <c r="G25" s="52" t="s">
        <v>154</v>
      </c>
      <c r="H25" s="53" t="s">
        <v>17</v>
      </c>
    </row>
    <row r="26" spans="1:8" ht="24.6" x14ac:dyDescent="0.3">
      <c r="A26" s="48">
        <f t="shared" si="0"/>
        <v>16</v>
      </c>
      <c r="B26" s="49"/>
      <c r="C26" s="50" t="s">
        <v>147</v>
      </c>
      <c r="D26" s="50" t="s">
        <v>148</v>
      </c>
      <c r="E26" s="51" t="s">
        <v>151</v>
      </c>
      <c r="F26" s="51" t="s">
        <v>80</v>
      </c>
      <c r="G26" s="52" t="s">
        <v>154</v>
      </c>
      <c r="H26" s="53" t="s">
        <v>11</v>
      </c>
    </row>
    <row r="27" spans="1:8" ht="24.6" x14ac:dyDescent="0.3">
      <c r="A27" s="48">
        <f t="shared" si="0"/>
        <v>17</v>
      </c>
      <c r="B27" s="49"/>
      <c r="C27" s="50" t="s">
        <v>44</v>
      </c>
      <c r="D27" s="50" t="s">
        <v>16</v>
      </c>
      <c r="E27" s="51" t="s">
        <v>151</v>
      </c>
      <c r="F27" s="51" t="s">
        <v>80</v>
      </c>
      <c r="G27" s="52" t="s">
        <v>154</v>
      </c>
      <c r="H27" s="53" t="s">
        <v>149</v>
      </c>
    </row>
    <row r="28" spans="1:8" ht="24.6" x14ac:dyDescent="0.3">
      <c r="A28" s="48"/>
      <c r="B28" s="49"/>
      <c r="C28" s="50"/>
      <c r="D28" s="50"/>
      <c r="E28" s="51"/>
      <c r="F28" s="51"/>
      <c r="G28" s="52"/>
      <c r="H28" s="53"/>
    </row>
    <row r="29" spans="1:8" ht="24.6" x14ac:dyDescent="0.3">
      <c r="A29" s="48"/>
      <c r="B29" s="49"/>
      <c r="C29" s="50"/>
      <c r="D29" s="50"/>
      <c r="E29" s="51"/>
      <c r="F29" s="51"/>
      <c r="G29" s="52"/>
      <c r="H29" s="53"/>
    </row>
    <row r="30" spans="1:8" ht="24.6" x14ac:dyDescent="0.3">
      <c r="A30" s="48"/>
      <c r="B30" s="49"/>
      <c r="C30" s="50"/>
      <c r="D30" s="50"/>
      <c r="E30" s="51"/>
      <c r="F30" s="51"/>
      <c r="G30" s="52"/>
      <c r="H30" s="53"/>
    </row>
    <row r="31" spans="1:8" ht="24.6" x14ac:dyDescent="0.3">
      <c r="A31" s="88"/>
      <c r="B31" s="89"/>
      <c r="C31" s="90"/>
      <c r="D31" s="90"/>
      <c r="E31" s="91"/>
      <c r="F31" s="91"/>
      <c r="G31" s="92"/>
      <c r="H31" s="93"/>
    </row>
    <row r="32" spans="1:8" ht="51.75" customHeight="1" x14ac:dyDescent="0.3">
      <c r="A32" s="94" t="s">
        <v>22</v>
      </c>
      <c r="B32" s="95"/>
      <c r="C32" s="54">
        <v>3</v>
      </c>
      <c r="D32" s="55"/>
      <c r="E32" s="96" t="s">
        <v>85</v>
      </c>
      <c r="F32" s="96"/>
      <c r="G32" s="56"/>
      <c r="H32" s="57"/>
    </row>
    <row r="33" spans="1:8" x14ac:dyDescent="0.3">
      <c r="A33" s="58" t="s">
        <v>0</v>
      </c>
      <c r="B33" s="59" t="s">
        <v>28</v>
      </c>
      <c r="C33" s="60" t="s">
        <v>1</v>
      </c>
      <c r="D33" s="61" t="s">
        <v>2</v>
      </c>
      <c r="E33" s="60" t="s">
        <v>3</v>
      </c>
      <c r="F33" s="60" t="s">
        <v>6</v>
      </c>
      <c r="G33" s="61" t="s">
        <v>5</v>
      </c>
      <c r="H33" s="61" t="s">
        <v>4</v>
      </c>
    </row>
    <row r="34" spans="1:8" ht="26.4" x14ac:dyDescent="0.3">
      <c r="A34" s="16">
        <v>18</v>
      </c>
      <c r="B34" s="34"/>
      <c r="C34" s="17" t="s">
        <v>30</v>
      </c>
      <c r="D34" s="17" t="s">
        <v>48</v>
      </c>
      <c r="E34" s="18" t="s">
        <v>151</v>
      </c>
      <c r="F34" s="18" t="s">
        <v>80</v>
      </c>
      <c r="G34" s="15" t="s">
        <v>159</v>
      </c>
      <c r="H34" s="19" t="s">
        <v>49</v>
      </c>
    </row>
    <row r="35" spans="1:8" ht="24.6" x14ac:dyDescent="0.3">
      <c r="A35" s="16">
        <f>A34+1</f>
        <v>19</v>
      </c>
      <c r="B35" s="34"/>
      <c r="C35" s="17" t="s">
        <v>117</v>
      </c>
      <c r="D35" s="17" t="s">
        <v>118</v>
      </c>
      <c r="E35" s="18" t="s">
        <v>151</v>
      </c>
      <c r="F35" s="18" t="s">
        <v>80</v>
      </c>
      <c r="G35" s="15" t="s">
        <v>159</v>
      </c>
      <c r="H35" s="19" t="s">
        <v>11</v>
      </c>
    </row>
    <row r="36" spans="1:8" ht="24.6" x14ac:dyDescent="0.3">
      <c r="A36" s="16">
        <f t="shared" ref="A36:A55" si="1">A35+1</f>
        <v>20</v>
      </c>
      <c r="B36" s="34"/>
      <c r="C36" s="17" t="s">
        <v>119</v>
      </c>
      <c r="D36" s="17" t="s">
        <v>120</v>
      </c>
      <c r="E36" s="18" t="s">
        <v>151</v>
      </c>
      <c r="F36" s="18" t="s">
        <v>80</v>
      </c>
      <c r="G36" s="15" t="s">
        <v>159</v>
      </c>
      <c r="H36" s="19" t="s">
        <v>11</v>
      </c>
    </row>
    <row r="37" spans="1:8" ht="26.4" x14ac:dyDescent="0.3">
      <c r="A37" s="16">
        <f t="shared" si="1"/>
        <v>21</v>
      </c>
      <c r="B37" s="34"/>
      <c r="C37" s="17" t="s">
        <v>121</v>
      </c>
      <c r="D37" s="17" t="s">
        <v>122</v>
      </c>
      <c r="E37" s="18" t="s">
        <v>151</v>
      </c>
      <c r="F37" s="18" t="s">
        <v>80</v>
      </c>
      <c r="G37" s="15" t="s">
        <v>159</v>
      </c>
      <c r="H37" s="19" t="s">
        <v>49</v>
      </c>
    </row>
    <row r="38" spans="1:8" ht="26.4" x14ac:dyDescent="0.3">
      <c r="A38" s="16">
        <f t="shared" si="1"/>
        <v>22</v>
      </c>
      <c r="B38" s="34"/>
      <c r="C38" s="17" t="s">
        <v>50</v>
      </c>
      <c r="D38" s="17" t="s">
        <v>37</v>
      </c>
      <c r="E38" s="18" t="s">
        <v>151</v>
      </c>
      <c r="F38" s="18" t="s">
        <v>80</v>
      </c>
      <c r="G38" s="15" t="s">
        <v>159</v>
      </c>
      <c r="H38" s="19" t="s">
        <v>49</v>
      </c>
    </row>
    <row r="39" spans="1:8" ht="26.4" x14ac:dyDescent="0.3">
      <c r="A39" s="16">
        <f t="shared" si="1"/>
        <v>23</v>
      </c>
      <c r="B39" s="34"/>
      <c r="C39" s="17" t="s">
        <v>63</v>
      </c>
      <c r="D39" s="17" t="s">
        <v>64</v>
      </c>
      <c r="E39" s="18" t="s">
        <v>151</v>
      </c>
      <c r="F39" s="18" t="s">
        <v>80</v>
      </c>
      <c r="G39" s="15" t="s">
        <v>159</v>
      </c>
      <c r="H39" s="19" t="s">
        <v>65</v>
      </c>
    </row>
    <row r="40" spans="1:8" ht="24.6" x14ac:dyDescent="0.3">
      <c r="A40" s="16">
        <f t="shared" si="1"/>
        <v>24</v>
      </c>
      <c r="B40" s="34"/>
      <c r="C40" s="17" t="s">
        <v>123</v>
      </c>
      <c r="D40" s="17" t="s">
        <v>124</v>
      </c>
      <c r="E40" s="18" t="s">
        <v>151</v>
      </c>
      <c r="F40" s="18" t="s">
        <v>80</v>
      </c>
      <c r="G40" s="15" t="s">
        <v>159</v>
      </c>
      <c r="H40" s="19" t="s">
        <v>11</v>
      </c>
    </row>
    <row r="41" spans="1:8" ht="24.6" x14ac:dyDescent="0.3">
      <c r="A41" s="16">
        <f t="shared" si="1"/>
        <v>25</v>
      </c>
      <c r="B41" s="34"/>
      <c r="C41" s="17" t="s">
        <v>125</v>
      </c>
      <c r="D41" s="17" t="s">
        <v>126</v>
      </c>
      <c r="E41" s="18" t="s">
        <v>151</v>
      </c>
      <c r="F41" s="18" t="s">
        <v>80</v>
      </c>
      <c r="G41" s="15" t="s">
        <v>159</v>
      </c>
      <c r="H41" s="19" t="s">
        <v>14</v>
      </c>
    </row>
    <row r="42" spans="1:8" ht="24.6" x14ac:dyDescent="0.3">
      <c r="A42" s="16">
        <f t="shared" si="1"/>
        <v>26</v>
      </c>
      <c r="B42" s="34"/>
      <c r="C42" s="17" t="s">
        <v>51</v>
      </c>
      <c r="D42" s="17" t="s">
        <v>52</v>
      </c>
      <c r="E42" s="18" t="s">
        <v>151</v>
      </c>
      <c r="F42" s="18" t="s">
        <v>80</v>
      </c>
      <c r="G42" s="15" t="s">
        <v>159</v>
      </c>
      <c r="H42" s="19" t="s">
        <v>39</v>
      </c>
    </row>
    <row r="43" spans="1:8" ht="24.6" x14ac:dyDescent="0.3">
      <c r="A43" s="16">
        <f t="shared" si="1"/>
        <v>27</v>
      </c>
      <c r="B43" s="34"/>
      <c r="C43" s="17" t="s">
        <v>127</v>
      </c>
      <c r="D43" s="17" t="s">
        <v>128</v>
      </c>
      <c r="E43" s="18" t="s">
        <v>151</v>
      </c>
      <c r="F43" s="18" t="s">
        <v>80</v>
      </c>
      <c r="G43" s="15" t="s">
        <v>159</v>
      </c>
      <c r="H43" s="19" t="s">
        <v>39</v>
      </c>
    </row>
    <row r="44" spans="1:8" ht="24.6" x14ac:dyDescent="0.3">
      <c r="A44" s="16">
        <f t="shared" si="1"/>
        <v>28</v>
      </c>
      <c r="B44" s="34"/>
      <c r="C44" s="17" t="s">
        <v>34</v>
      </c>
      <c r="D44" s="17" t="s">
        <v>53</v>
      </c>
      <c r="E44" s="18" t="s">
        <v>151</v>
      </c>
      <c r="F44" s="18" t="s">
        <v>80</v>
      </c>
      <c r="G44" s="15" t="s">
        <v>159</v>
      </c>
      <c r="H44" s="19" t="s">
        <v>39</v>
      </c>
    </row>
    <row r="45" spans="1:8" ht="26.4" x14ac:dyDescent="0.3">
      <c r="A45" s="16">
        <f t="shared" si="1"/>
        <v>29</v>
      </c>
      <c r="B45" s="34"/>
      <c r="C45" s="17" t="s">
        <v>129</v>
      </c>
      <c r="D45" s="17" t="s">
        <v>18</v>
      </c>
      <c r="E45" s="18" t="s">
        <v>151</v>
      </c>
      <c r="F45" s="18" t="s">
        <v>80</v>
      </c>
      <c r="G45" s="15" t="s">
        <v>159</v>
      </c>
      <c r="H45" s="19" t="s">
        <v>49</v>
      </c>
    </row>
    <row r="46" spans="1:8" ht="24.6" x14ac:dyDescent="0.3">
      <c r="A46" s="16">
        <f t="shared" si="1"/>
        <v>30</v>
      </c>
      <c r="B46" s="34"/>
      <c r="C46" s="17" t="s">
        <v>130</v>
      </c>
      <c r="D46" s="17" t="s">
        <v>29</v>
      </c>
      <c r="E46" s="18" t="s">
        <v>151</v>
      </c>
      <c r="F46" s="18" t="s">
        <v>80</v>
      </c>
      <c r="G46" s="15" t="s">
        <v>159</v>
      </c>
      <c r="H46" s="19" t="s">
        <v>14</v>
      </c>
    </row>
    <row r="47" spans="1:8" ht="24.6" x14ac:dyDescent="0.3">
      <c r="A47" s="16">
        <f t="shared" si="1"/>
        <v>31</v>
      </c>
      <c r="B47" s="34"/>
      <c r="C47" s="17" t="s">
        <v>131</v>
      </c>
      <c r="D47" s="17" t="s">
        <v>40</v>
      </c>
      <c r="E47" s="18" t="s">
        <v>151</v>
      </c>
      <c r="F47" s="18" t="s">
        <v>80</v>
      </c>
      <c r="G47" s="15" t="s">
        <v>159</v>
      </c>
      <c r="H47" s="19" t="s">
        <v>11</v>
      </c>
    </row>
    <row r="48" spans="1:8" ht="24.6" x14ac:dyDescent="0.3">
      <c r="A48" s="16">
        <f t="shared" si="1"/>
        <v>32</v>
      </c>
      <c r="B48" s="34"/>
      <c r="C48" s="17" t="s">
        <v>132</v>
      </c>
      <c r="D48" s="17" t="s">
        <v>18</v>
      </c>
      <c r="E48" s="18" t="s">
        <v>151</v>
      </c>
      <c r="F48" s="18" t="s">
        <v>80</v>
      </c>
      <c r="G48" s="15" t="s">
        <v>159</v>
      </c>
      <c r="H48" s="19" t="s">
        <v>11</v>
      </c>
    </row>
    <row r="49" spans="1:8" ht="24.6" x14ac:dyDescent="0.3">
      <c r="A49" s="16">
        <f t="shared" si="1"/>
        <v>33</v>
      </c>
      <c r="B49" s="34"/>
      <c r="C49" s="17" t="s">
        <v>133</v>
      </c>
      <c r="D49" s="17" t="s">
        <v>134</v>
      </c>
      <c r="E49" s="18" t="s">
        <v>151</v>
      </c>
      <c r="F49" s="18" t="s">
        <v>80</v>
      </c>
      <c r="G49" s="15" t="s">
        <v>159</v>
      </c>
      <c r="H49" s="19" t="s">
        <v>43</v>
      </c>
    </row>
    <row r="50" spans="1:8" ht="24.6" x14ac:dyDescent="0.3">
      <c r="A50" s="16">
        <f t="shared" si="1"/>
        <v>34</v>
      </c>
      <c r="B50" s="34"/>
      <c r="C50" s="17" t="s">
        <v>135</v>
      </c>
      <c r="D50" s="17" t="s">
        <v>136</v>
      </c>
      <c r="E50" s="18" t="s">
        <v>151</v>
      </c>
      <c r="F50" s="18" t="s">
        <v>80</v>
      </c>
      <c r="G50" s="15" t="s">
        <v>159</v>
      </c>
      <c r="H50" s="19" t="s">
        <v>11</v>
      </c>
    </row>
    <row r="51" spans="1:8" ht="24.6" x14ac:dyDescent="0.3">
      <c r="A51" s="16">
        <f t="shared" si="1"/>
        <v>35</v>
      </c>
      <c r="B51" s="34"/>
      <c r="C51" s="17" t="s">
        <v>57</v>
      </c>
      <c r="D51" s="17" t="s">
        <v>58</v>
      </c>
      <c r="E51" s="18" t="s">
        <v>151</v>
      </c>
      <c r="F51" s="18" t="s">
        <v>80</v>
      </c>
      <c r="G51" s="15" t="s">
        <v>159</v>
      </c>
      <c r="H51" s="19" t="s">
        <v>39</v>
      </c>
    </row>
    <row r="52" spans="1:8" ht="24.6" x14ac:dyDescent="0.3">
      <c r="A52" s="16">
        <f t="shared" si="1"/>
        <v>36</v>
      </c>
      <c r="B52" s="34"/>
      <c r="C52" s="17" t="s">
        <v>59</v>
      </c>
      <c r="D52" s="17" t="s">
        <v>29</v>
      </c>
      <c r="E52" s="18" t="s">
        <v>151</v>
      </c>
      <c r="F52" s="18" t="s">
        <v>80</v>
      </c>
      <c r="G52" s="15" t="s">
        <v>159</v>
      </c>
      <c r="H52" s="19" t="s">
        <v>11</v>
      </c>
    </row>
    <row r="53" spans="1:8" ht="24.6" x14ac:dyDescent="0.3">
      <c r="A53" s="16">
        <f t="shared" si="1"/>
        <v>37</v>
      </c>
      <c r="B53" s="34"/>
      <c r="C53" s="17" t="s">
        <v>20</v>
      </c>
      <c r="D53" s="17" t="s">
        <v>60</v>
      </c>
      <c r="E53" s="18" t="s">
        <v>151</v>
      </c>
      <c r="F53" s="18" t="s">
        <v>80</v>
      </c>
      <c r="G53" s="15" t="s">
        <v>159</v>
      </c>
      <c r="H53" s="19" t="s">
        <v>14</v>
      </c>
    </row>
    <row r="54" spans="1:8" ht="24.6" x14ac:dyDescent="0.3">
      <c r="A54" s="16">
        <f t="shared" si="1"/>
        <v>38</v>
      </c>
      <c r="B54" s="34"/>
      <c r="C54" s="17" t="s">
        <v>144</v>
      </c>
      <c r="D54" s="17" t="s">
        <v>145</v>
      </c>
      <c r="E54" s="18" t="s">
        <v>151</v>
      </c>
      <c r="F54" s="18"/>
      <c r="G54" s="15" t="s">
        <v>159</v>
      </c>
      <c r="H54" s="19" t="s">
        <v>146</v>
      </c>
    </row>
    <row r="55" spans="1:8" ht="24.6" x14ac:dyDescent="0.3">
      <c r="A55" s="16">
        <f t="shared" si="1"/>
        <v>39</v>
      </c>
      <c r="B55" s="34"/>
      <c r="C55" s="17" t="s">
        <v>68</v>
      </c>
      <c r="D55" s="17" t="s">
        <v>9</v>
      </c>
      <c r="E55" s="18" t="s">
        <v>151</v>
      </c>
      <c r="F55" s="18"/>
      <c r="G55" s="15" t="s">
        <v>159</v>
      </c>
      <c r="H55" s="19" t="s">
        <v>89</v>
      </c>
    </row>
    <row r="56" spans="1:8" ht="24.6" x14ac:dyDescent="0.3">
      <c r="A56" s="16"/>
      <c r="B56" s="34"/>
      <c r="C56" s="17"/>
      <c r="D56" s="17"/>
      <c r="E56" s="18"/>
      <c r="F56" s="18"/>
      <c r="G56" s="15"/>
      <c r="H56" s="19"/>
    </row>
    <row r="57" spans="1:8" ht="24.6" x14ac:dyDescent="0.3">
      <c r="A57" s="16"/>
      <c r="B57" s="34"/>
      <c r="C57" s="17"/>
      <c r="D57" s="17"/>
      <c r="E57" s="18"/>
      <c r="F57" s="18"/>
      <c r="G57" s="15"/>
      <c r="H57" s="19"/>
    </row>
    <row r="58" spans="1:8" ht="24.6" x14ac:dyDescent="0.3">
      <c r="A58" s="16"/>
      <c r="B58" s="34"/>
      <c r="C58" s="17"/>
      <c r="D58" s="17"/>
      <c r="E58" s="18"/>
      <c r="F58" s="18"/>
      <c r="G58" s="15"/>
      <c r="H58" s="19"/>
    </row>
    <row r="59" spans="1:8" ht="24.6" x14ac:dyDescent="0.3">
      <c r="A59" s="62"/>
      <c r="B59" s="63"/>
      <c r="C59" s="64"/>
      <c r="D59" s="64"/>
      <c r="E59" s="65"/>
      <c r="F59" s="65"/>
      <c r="G59" s="66"/>
      <c r="H59" s="67"/>
    </row>
    <row r="60" spans="1:8" ht="51.75" customHeight="1" x14ac:dyDescent="0.3">
      <c r="A60" s="97" t="s">
        <v>22</v>
      </c>
      <c r="B60" s="98"/>
      <c r="C60" s="68">
        <v>4</v>
      </c>
      <c r="D60" s="69"/>
      <c r="E60" s="99" t="s">
        <v>85</v>
      </c>
      <c r="F60" s="99"/>
      <c r="G60" s="70"/>
      <c r="H60" s="71"/>
    </row>
    <row r="61" spans="1:8" x14ac:dyDescent="0.3">
      <c r="A61" s="72" t="s">
        <v>0</v>
      </c>
      <c r="B61" s="73" t="s">
        <v>28</v>
      </c>
      <c r="C61" s="74" t="s">
        <v>1</v>
      </c>
      <c r="D61" s="75" t="s">
        <v>2</v>
      </c>
      <c r="E61" s="74" t="s">
        <v>3</v>
      </c>
      <c r="F61" s="74" t="s">
        <v>6</v>
      </c>
      <c r="G61" s="75" t="s">
        <v>5</v>
      </c>
      <c r="H61" s="75" t="s">
        <v>4</v>
      </c>
    </row>
    <row r="62" spans="1:8" ht="24.6" x14ac:dyDescent="0.3">
      <c r="A62" s="76">
        <v>40</v>
      </c>
      <c r="B62" s="77"/>
      <c r="C62" s="78" t="s">
        <v>137</v>
      </c>
      <c r="D62" s="78" t="s">
        <v>122</v>
      </c>
      <c r="E62" s="79" t="s">
        <v>151</v>
      </c>
      <c r="F62" s="79" t="s">
        <v>80</v>
      </c>
      <c r="G62" s="80" t="s">
        <v>155</v>
      </c>
      <c r="H62" s="81" t="s">
        <v>11</v>
      </c>
    </row>
    <row r="63" spans="1:8" ht="24.6" x14ac:dyDescent="0.3">
      <c r="A63" s="76">
        <f>A62+1</f>
        <v>41</v>
      </c>
      <c r="B63" s="77"/>
      <c r="C63" s="78" t="s">
        <v>61</v>
      </c>
      <c r="D63" s="78" t="s">
        <v>62</v>
      </c>
      <c r="E63" s="79" t="s">
        <v>151</v>
      </c>
      <c r="F63" s="79" t="s">
        <v>80</v>
      </c>
      <c r="G63" s="80" t="s">
        <v>155</v>
      </c>
      <c r="H63" s="81" t="s">
        <v>11</v>
      </c>
    </row>
    <row r="64" spans="1:8" ht="24.6" x14ac:dyDescent="0.3">
      <c r="A64" s="76">
        <f t="shared" ref="A64" si="2">A63+1</f>
        <v>42</v>
      </c>
      <c r="B64" s="77"/>
      <c r="C64" s="78" t="s">
        <v>66</v>
      </c>
      <c r="D64" s="78" t="s">
        <v>35</v>
      </c>
      <c r="E64" s="79" t="s">
        <v>151</v>
      </c>
      <c r="F64" s="79" t="s">
        <v>80</v>
      </c>
      <c r="G64" s="80" t="s">
        <v>155</v>
      </c>
      <c r="H64" s="81" t="s">
        <v>39</v>
      </c>
    </row>
    <row r="65" spans="1:8" ht="24.6" x14ac:dyDescent="0.3">
      <c r="A65" s="76">
        <v>43</v>
      </c>
      <c r="B65" s="77"/>
      <c r="C65" s="78" t="s">
        <v>152</v>
      </c>
      <c r="D65" s="78" t="s">
        <v>19</v>
      </c>
      <c r="E65" s="79" t="s">
        <v>151</v>
      </c>
      <c r="F65" s="79" t="s">
        <v>80</v>
      </c>
      <c r="G65" s="80" t="s">
        <v>155</v>
      </c>
      <c r="H65" s="81" t="s">
        <v>11</v>
      </c>
    </row>
    <row r="66" spans="1:8" ht="24.6" x14ac:dyDescent="0.3">
      <c r="A66" s="76"/>
      <c r="B66" s="77"/>
      <c r="C66" s="78"/>
      <c r="D66" s="78"/>
      <c r="E66" s="79"/>
      <c r="F66" s="79"/>
      <c r="G66" s="80"/>
      <c r="H66" s="81"/>
    </row>
    <row r="67" spans="1:8" ht="24.6" x14ac:dyDescent="0.3">
      <c r="A67" s="76"/>
      <c r="B67" s="77"/>
      <c r="C67" s="78"/>
      <c r="D67" s="78"/>
      <c r="E67" s="79"/>
      <c r="F67" s="79"/>
      <c r="G67" s="80"/>
      <c r="H67" s="81"/>
    </row>
    <row r="68" spans="1:8" ht="24.6" x14ac:dyDescent="0.3">
      <c r="A68" s="82"/>
      <c r="B68" s="83"/>
      <c r="C68" s="84"/>
      <c r="D68" s="84"/>
      <c r="E68" s="85"/>
      <c r="F68" s="85"/>
      <c r="G68" s="86"/>
      <c r="H68" s="87"/>
    </row>
    <row r="69" spans="1:8" ht="51.75" customHeight="1" x14ac:dyDescent="0.3">
      <c r="A69" s="100" t="s">
        <v>22</v>
      </c>
      <c r="B69" s="101"/>
      <c r="C69" s="40" t="s">
        <v>7</v>
      </c>
      <c r="D69" s="41"/>
      <c r="E69" s="102" t="s">
        <v>85</v>
      </c>
      <c r="F69" s="102"/>
      <c r="G69" s="42"/>
      <c r="H69" s="43"/>
    </row>
    <row r="70" spans="1:8" x14ac:dyDescent="0.3">
      <c r="A70" s="44" t="s">
        <v>0</v>
      </c>
      <c r="B70" s="45" t="s">
        <v>28</v>
      </c>
      <c r="C70" s="46" t="s">
        <v>1</v>
      </c>
      <c r="D70" s="47" t="s">
        <v>2</v>
      </c>
      <c r="E70" s="46" t="s">
        <v>3</v>
      </c>
      <c r="F70" s="46" t="s">
        <v>6</v>
      </c>
      <c r="G70" s="47" t="s">
        <v>5</v>
      </c>
      <c r="H70" s="47" t="s">
        <v>4</v>
      </c>
    </row>
    <row r="71" spans="1:8" ht="24.6" x14ac:dyDescent="0.3">
      <c r="A71" s="48">
        <v>44</v>
      </c>
      <c r="B71" s="49"/>
      <c r="C71" s="50" t="s">
        <v>78</v>
      </c>
      <c r="D71" s="50" t="s">
        <v>79</v>
      </c>
      <c r="E71" s="51" t="s">
        <v>151</v>
      </c>
      <c r="F71" s="51" t="s">
        <v>80</v>
      </c>
      <c r="G71" s="52" t="s">
        <v>156</v>
      </c>
      <c r="H71" s="53" t="s">
        <v>39</v>
      </c>
    </row>
    <row r="72" spans="1:8" ht="24.6" x14ac:dyDescent="0.3">
      <c r="A72" s="48">
        <v>45</v>
      </c>
      <c r="B72" s="49"/>
      <c r="C72" s="50" t="s">
        <v>81</v>
      </c>
      <c r="D72" s="50" t="s">
        <v>36</v>
      </c>
      <c r="E72" s="51" t="s">
        <v>151</v>
      </c>
      <c r="F72" s="51"/>
      <c r="G72" s="52" t="s">
        <v>156</v>
      </c>
      <c r="H72" s="53" t="s">
        <v>82</v>
      </c>
    </row>
    <row r="73" spans="1:8" ht="26.4" x14ac:dyDescent="0.3">
      <c r="A73" s="48">
        <v>46</v>
      </c>
      <c r="B73" s="49"/>
      <c r="C73" s="50" t="s">
        <v>83</v>
      </c>
      <c r="D73" s="50" t="s">
        <v>84</v>
      </c>
      <c r="E73" s="51" t="s">
        <v>151</v>
      </c>
      <c r="F73" s="51" t="s">
        <v>80</v>
      </c>
      <c r="G73" s="52" t="s">
        <v>156</v>
      </c>
      <c r="H73" s="53" t="s">
        <v>49</v>
      </c>
    </row>
    <row r="74" spans="1:8" ht="24.6" x14ac:dyDescent="0.3">
      <c r="A74" s="48"/>
      <c r="B74" s="49"/>
      <c r="C74" s="50"/>
      <c r="D74" s="50"/>
      <c r="E74" s="51"/>
      <c r="F74" s="51"/>
      <c r="G74" s="52"/>
      <c r="H74" s="53"/>
    </row>
    <row r="75" spans="1:8" ht="24.6" x14ac:dyDescent="0.3">
      <c r="A75" s="48"/>
      <c r="B75" s="49"/>
      <c r="C75" s="50"/>
      <c r="D75" s="50"/>
      <c r="E75" s="51"/>
      <c r="F75" s="51"/>
      <c r="G75" s="52"/>
      <c r="H75" s="53"/>
    </row>
    <row r="76" spans="1:8" ht="24.6" x14ac:dyDescent="0.3">
      <c r="A76" s="48"/>
      <c r="B76" s="49"/>
      <c r="C76" s="50"/>
      <c r="D76" s="50"/>
      <c r="E76" s="51"/>
      <c r="F76" s="51"/>
      <c r="G76" s="52"/>
      <c r="H76" s="53"/>
    </row>
    <row r="77" spans="1:8" ht="24.6" x14ac:dyDescent="0.3">
      <c r="A77" s="35"/>
      <c r="B77" s="36"/>
      <c r="C77" s="37"/>
      <c r="D77" s="37"/>
      <c r="E77" s="38"/>
      <c r="F77" s="38"/>
      <c r="G77" s="39"/>
      <c r="H77" s="28"/>
    </row>
    <row r="78" spans="1:8" ht="39" customHeight="1" x14ac:dyDescent="0.3">
      <c r="A78" s="103" t="s">
        <v>22</v>
      </c>
      <c r="B78" s="104"/>
      <c r="C78" s="1" t="s">
        <v>10</v>
      </c>
      <c r="D78" s="22"/>
      <c r="E78" s="105" t="s">
        <v>85</v>
      </c>
      <c r="F78" s="105"/>
      <c r="G78" s="9"/>
      <c r="H78" s="24"/>
    </row>
    <row r="79" spans="1:8" ht="24.6" x14ac:dyDescent="0.3">
      <c r="A79" s="6">
        <v>47</v>
      </c>
      <c r="B79" s="20"/>
      <c r="C79" s="7" t="s">
        <v>86</v>
      </c>
      <c r="D79" s="7" t="s">
        <v>87</v>
      </c>
      <c r="E79" s="8" t="s">
        <v>151</v>
      </c>
      <c r="F79" s="8"/>
      <c r="G79" s="10" t="s">
        <v>157</v>
      </c>
      <c r="H79" s="13" t="s">
        <v>88</v>
      </c>
    </row>
    <row r="80" spans="1:8" ht="24.6" x14ac:dyDescent="0.3">
      <c r="A80" s="6">
        <f>A79+1</f>
        <v>48</v>
      </c>
      <c r="B80" s="20"/>
      <c r="C80" s="7" t="s">
        <v>68</v>
      </c>
      <c r="D80" s="7" t="s">
        <v>70</v>
      </c>
      <c r="E80" s="8" t="s">
        <v>151</v>
      </c>
      <c r="F80" s="8"/>
      <c r="G80" s="10" t="s">
        <v>157</v>
      </c>
      <c r="H80" s="13" t="s">
        <v>89</v>
      </c>
    </row>
    <row r="81" spans="1:8" ht="24.6" x14ac:dyDescent="0.3">
      <c r="A81" s="6">
        <f t="shared" ref="A81:A86" si="3">A80+1</f>
        <v>49</v>
      </c>
      <c r="B81" s="20"/>
      <c r="C81" s="7" t="s">
        <v>71</v>
      </c>
      <c r="D81" s="7" t="s">
        <v>72</v>
      </c>
      <c r="E81" s="8" t="s">
        <v>151</v>
      </c>
      <c r="F81" s="8" t="s">
        <v>80</v>
      </c>
      <c r="G81" s="10" t="s">
        <v>157</v>
      </c>
      <c r="H81" s="13" t="s">
        <v>39</v>
      </c>
    </row>
    <row r="82" spans="1:8" ht="24.6" x14ac:dyDescent="0.3">
      <c r="A82" s="6">
        <f t="shared" si="3"/>
        <v>50</v>
      </c>
      <c r="B82" s="20"/>
      <c r="C82" s="7" t="s">
        <v>90</v>
      </c>
      <c r="D82" s="7" t="s">
        <v>91</v>
      </c>
      <c r="E82" s="8" t="s">
        <v>151</v>
      </c>
      <c r="F82" s="8"/>
      <c r="G82" s="10" t="s">
        <v>157</v>
      </c>
      <c r="H82" s="13" t="s">
        <v>8</v>
      </c>
    </row>
    <row r="83" spans="1:8" ht="24.6" x14ac:dyDescent="0.3">
      <c r="A83" s="6">
        <f t="shared" si="3"/>
        <v>51</v>
      </c>
      <c r="B83" s="20"/>
      <c r="C83" s="7" t="s">
        <v>73</v>
      </c>
      <c r="D83" s="7" t="s">
        <v>74</v>
      </c>
      <c r="E83" s="8" t="s">
        <v>151</v>
      </c>
      <c r="F83" s="8"/>
      <c r="G83" s="10" t="s">
        <v>157</v>
      </c>
      <c r="H83" s="13" t="s">
        <v>89</v>
      </c>
    </row>
    <row r="84" spans="1:8" ht="24.6" x14ac:dyDescent="0.3">
      <c r="A84" s="6">
        <f>A83+1</f>
        <v>52</v>
      </c>
      <c r="B84" s="20"/>
      <c r="C84" s="7" t="s">
        <v>92</v>
      </c>
      <c r="D84" s="7" t="s">
        <v>93</v>
      </c>
      <c r="E84" s="8" t="s">
        <v>151</v>
      </c>
      <c r="F84" s="8" t="s">
        <v>80</v>
      </c>
      <c r="G84" s="10" t="s">
        <v>157</v>
      </c>
      <c r="H84" s="13" t="s">
        <v>39</v>
      </c>
    </row>
    <row r="85" spans="1:8" ht="24.6" x14ac:dyDescent="0.3">
      <c r="A85" s="6">
        <f t="shared" si="3"/>
        <v>53</v>
      </c>
      <c r="B85" s="20"/>
      <c r="C85" s="7" t="s">
        <v>33</v>
      </c>
      <c r="D85" s="7" t="s">
        <v>75</v>
      </c>
      <c r="E85" s="8" t="s">
        <v>151</v>
      </c>
      <c r="F85" s="8" t="s">
        <v>80</v>
      </c>
      <c r="G85" s="10" t="s">
        <v>157</v>
      </c>
      <c r="H85" s="13" t="s">
        <v>39</v>
      </c>
    </row>
    <row r="86" spans="1:8" ht="24.6" x14ac:dyDescent="0.3">
      <c r="A86" s="6">
        <f t="shared" si="3"/>
        <v>54</v>
      </c>
      <c r="B86" s="20"/>
      <c r="C86" s="7" t="s">
        <v>66</v>
      </c>
      <c r="D86" s="7" t="s">
        <v>76</v>
      </c>
      <c r="E86" s="8" t="s">
        <v>13</v>
      </c>
      <c r="F86" s="8" t="s">
        <v>80</v>
      </c>
      <c r="G86" s="10" t="s">
        <v>157</v>
      </c>
      <c r="H86" s="13" t="s">
        <v>39</v>
      </c>
    </row>
    <row r="87" spans="1:8" ht="24.6" x14ac:dyDescent="0.3">
      <c r="A87" s="6"/>
      <c r="B87" s="20"/>
      <c r="C87" s="7"/>
      <c r="D87" s="7"/>
      <c r="E87" s="8"/>
      <c r="F87" s="8"/>
      <c r="G87" s="10"/>
      <c r="H87" s="13"/>
    </row>
    <row r="88" spans="1:8" ht="24.6" x14ac:dyDescent="0.3">
      <c r="A88" s="6"/>
      <c r="B88" s="20"/>
      <c r="C88" s="7"/>
      <c r="D88" s="7"/>
      <c r="E88" s="8"/>
      <c r="F88" s="8"/>
      <c r="G88" s="10"/>
      <c r="H88" s="13"/>
    </row>
    <row r="89" spans="1:8" ht="24.6" x14ac:dyDescent="0.3">
      <c r="A89" s="6"/>
      <c r="B89" s="20"/>
      <c r="C89" s="7"/>
      <c r="D89" s="7"/>
      <c r="E89" s="8"/>
      <c r="F89" s="8"/>
      <c r="G89" s="10"/>
      <c r="H89" s="13"/>
    </row>
    <row r="90" spans="1:8" ht="24.6" x14ac:dyDescent="0.3">
      <c r="A90" s="6"/>
      <c r="B90" s="20"/>
      <c r="C90" s="7"/>
      <c r="D90" s="7"/>
      <c r="E90" s="8"/>
      <c r="F90" s="8"/>
      <c r="G90" s="10"/>
      <c r="H90" s="13"/>
    </row>
    <row r="91" spans="1:8" ht="24.6" x14ac:dyDescent="0.3">
      <c r="A91" s="25"/>
      <c r="B91" s="26"/>
      <c r="C91" s="27"/>
      <c r="D91" s="27"/>
      <c r="E91" s="12"/>
      <c r="F91" s="12"/>
      <c r="G91" s="14"/>
      <c r="H91" s="28"/>
    </row>
    <row r="92" spans="1:8" ht="51.75" customHeight="1" x14ac:dyDescent="0.3">
      <c r="A92" s="94" t="s">
        <v>22</v>
      </c>
      <c r="B92" s="95"/>
      <c r="C92" s="54" t="s">
        <v>12</v>
      </c>
      <c r="D92" s="55"/>
      <c r="E92" s="96" t="s">
        <v>85</v>
      </c>
      <c r="F92" s="96"/>
      <c r="G92" s="56"/>
      <c r="H92" s="57"/>
    </row>
    <row r="93" spans="1:8" x14ac:dyDescent="0.3">
      <c r="A93" s="58" t="s">
        <v>0</v>
      </c>
      <c r="B93" s="59" t="s">
        <v>28</v>
      </c>
      <c r="C93" s="60" t="s">
        <v>1</v>
      </c>
      <c r="D93" s="61" t="s">
        <v>2</v>
      </c>
      <c r="E93" s="60" t="s">
        <v>3</v>
      </c>
      <c r="F93" s="60" t="s">
        <v>6</v>
      </c>
      <c r="G93" s="61" t="s">
        <v>5</v>
      </c>
      <c r="H93" s="61" t="s">
        <v>4</v>
      </c>
    </row>
    <row r="94" spans="1:8" ht="24.6" x14ac:dyDescent="0.3">
      <c r="A94" s="16">
        <v>55</v>
      </c>
      <c r="B94" s="34"/>
      <c r="C94" s="17" t="s">
        <v>68</v>
      </c>
      <c r="D94" s="17" t="s">
        <v>69</v>
      </c>
      <c r="E94" s="18" t="s">
        <v>13</v>
      </c>
      <c r="F94" s="18"/>
      <c r="G94" s="15" t="s">
        <v>158</v>
      </c>
      <c r="H94" s="19" t="s">
        <v>89</v>
      </c>
    </row>
    <row r="95" spans="1:8" ht="24.6" x14ac:dyDescent="0.3">
      <c r="A95" s="16">
        <v>56</v>
      </c>
      <c r="B95" s="34"/>
      <c r="C95" s="17" t="s">
        <v>138</v>
      </c>
      <c r="D95" s="17" t="s">
        <v>139</v>
      </c>
      <c r="E95" s="18" t="s">
        <v>13</v>
      </c>
      <c r="F95" s="18" t="s">
        <v>80</v>
      </c>
      <c r="G95" s="15" t="s">
        <v>158</v>
      </c>
      <c r="H95" s="19" t="s">
        <v>11</v>
      </c>
    </row>
    <row r="96" spans="1:8" ht="24.6" x14ac:dyDescent="0.3">
      <c r="A96" s="16">
        <v>57</v>
      </c>
      <c r="B96" s="34"/>
      <c r="C96" s="17" t="s">
        <v>33</v>
      </c>
      <c r="D96" s="17" t="s">
        <v>140</v>
      </c>
      <c r="E96" s="18" t="s">
        <v>13</v>
      </c>
      <c r="F96" s="18" t="s">
        <v>80</v>
      </c>
      <c r="G96" s="15" t="s">
        <v>158</v>
      </c>
      <c r="H96" s="19" t="s">
        <v>39</v>
      </c>
    </row>
    <row r="97" spans="1:8" ht="28.8" x14ac:dyDescent="0.3">
      <c r="A97" s="16">
        <v>58</v>
      </c>
      <c r="B97" s="34"/>
      <c r="C97" s="17" t="s">
        <v>57</v>
      </c>
      <c r="D97" s="17" t="s">
        <v>141</v>
      </c>
      <c r="E97" s="18" t="s">
        <v>13</v>
      </c>
      <c r="F97" s="18" t="s">
        <v>80</v>
      </c>
      <c r="G97" s="15" t="s">
        <v>158</v>
      </c>
      <c r="H97" s="19" t="s">
        <v>39</v>
      </c>
    </row>
    <row r="98" spans="1:8" ht="24.6" x14ac:dyDescent="0.3">
      <c r="A98" s="16">
        <f>A97+1</f>
        <v>59</v>
      </c>
      <c r="B98" s="34"/>
      <c r="C98" s="17" t="s">
        <v>142</v>
      </c>
      <c r="D98" s="17" t="s">
        <v>143</v>
      </c>
      <c r="E98" s="18" t="s">
        <v>13</v>
      </c>
      <c r="F98" s="18" t="s">
        <v>80</v>
      </c>
      <c r="G98" s="15" t="s">
        <v>158</v>
      </c>
      <c r="H98" s="19" t="s">
        <v>14</v>
      </c>
    </row>
    <row r="99" spans="1:8" ht="24.6" x14ac:dyDescent="0.3">
      <c r="A99" s="16">
        <f t="shared" ref="A99" si="4">A98+1</f>
        <v>60</v>
      </c>
      <c r="B99" s="34"/>
      <c r="C99" s="17" t="s">
        <v>81</v>
      </c>
      <c r="D99" s="17" t="s">
        <v>150</v>
      </c>
      <c r="E99" s="18" t="s">
        <v>13</v>
      </c>
      <c r="F99" s="18"/>
      <c r="G99" s="15" t="s">
        <v>158</v>
      </c>
      <c r="H99" s="19" t="s">
        <v>39</v>
      </c>
    </row>
    <row r="100" spans="1:8" ht="24.6" x14ac:dyDescent="0.3">
      <c r="A100" s="16"/>
      <c r="B100" s="34"/>
      <c r="C100" s="17"/>
      <c r="D100" s="17"/>
      <c r="E100" s="18"/>
      <c r="F100" s="18"/>
      <c r="G100" s="15"/>
      <c r="H100" s="19"/>
    </row>
    <row r="101" spans="1:8" ht="24.6" x14ac:dyDescent="0.3">
      <c r="A101" s="16"/>
      <c r="B101" s="34"/>
      <c r="C101" s="17"/>
      <c r="D101" s="17"/>
      <c r="E101" s="18"/>
      <c r="F101" s="18"/>
      <c r="G101" s="15"/>
      <c r="H101" s="19"/>
    </row>
    <row r="102" spans="1:8" ht="24.6" x14ac:dyDescent="0.3">
      <c r="A102" s="16"/>
      <c r="B102" s="34"/>
      <c r="C102" s="17"/>
      <c r="D102" s="17"/>
      <c r="E102" s="18"/>
      <c r="F102" s="18"/>
      <c r="G102" s="15"/>
      <c r="H102" s="19"/>
    </row>
  </sheetData>
  <mergeCells count="14">
    <mergeCell ref="A1:B1"/>
    <mergeCell ref="E1:F1"/>
    <mergeCell ref="A14:B14"/>
    <mergeCell ref="E14:F14"/>
    <mergeCell ref="A32:B32"/>
    <mergeCell ref="E32:F32"/>
    <mergeCell ref="A92:B92"/>
    <mergeCell ref="E92:F92"/>
    <mergeCell ref="A60:B60"/>
    <mergeCell ref="E60:F60"/>
    <mergeCell ref="A69:B69"/>
    <mergeCell ref="E69:F69"/>
    <mergeCell ref="A78:B78"/>
    <mergeCell ref="E78:F78"/>
  </mergeCells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Page &amp;P de &amp;N</oddFooter>
  </headerFooter>
  <rowBreaks count="5" manualBreakCount="5">
    <brk id="13" max="16383" man="1"/>
    <brk id="31" max="16383" man="1"/>
    <brk id="59" max="16383" man="1"/>
    <brk id="68" max="16383" man="1"/>
    <brk id="91" max="16383" man="1"/>
  </rowBreaks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1815-B320-4793-9427-6C92A068EEC3}">
  <sheetPr>
    <tabColor theme="9"/>
    <pageSetUpPr fitToPage="1"/>
  </sheetPr>
  <dimension ref="A1:L83"/>
  <sheetViews>
    <sheetView showGridLines="0" tabSelected="1" zoomScale="70" zoomScaleNormal="70" workbookViewId="0">
      <selection activeCell="B7" sqref="B7"/>
    </sheetView>
  </sheetViews>
  <sheetFormatPr baseColWidth="10" defaultRowHeight="14.4" x14ac:dyDescent="0.3"/>
  <cols>
    <col min="1" max="1" width="11.5546875" style="106"/>
    <col min="3" max="3" width="21.77734375" customWidth="1"/>
    <col min="4" max="4" width="15.88671875" customWidth="1"/>
    <col min="6" max="6" width="13.5546875" customWidth="1"/>
    <col min="7" max="7" width="15.21875" customWidth="1"/>
    <col min="8" max="8" width="48.77734375" customWidth="1"/>
    <col min="12" max="12" width="12.5546875" bestFit="1" customWidth="1"/>
  </cols>
  <sheetData>
    <row r="1" spans="1:12" ht="51.75" customHeight="1" x14ac:dyDescent="0.3">
      <c r="A1" s="103" t="s">
        <v>22</v>
      </c>
      <c r="B1" s="104"/>
      <c r="C1" s="1">
        <v>1</v>
      </c>
      <c r="D1" s="22"/>
      <c r="E1" s="105" t="s">
        <v>160</v>
      </c>
      <c r="F1" s="105"/>
      <c r="G1" s="9"/>
      <c r="H1" s="22"/>
      <c r="I1" s="22"/>
      <c r="J1" s="11" t="s">
        <v>23</v>
      </c>
      <c r="K1" s="23">
        <f>COUNTA(A3:A9)</f>
        <v>5</v>
      </c>
      <c r="L1" s="24"/>
    </row>
    <row r="2" spans="1:12" ht="26.4" x14ac:dyDescent="0.3">
      <c r="A2" s="2" t="s">
        <v>0</v>
      </c>
      <c r="B2" s="3" t="s">
        <v>21</v>
      </c>
      <c r="C2" s="4" t="s">
        <v>1</v>
      </c>
      <c r="D2" s="5" t="s">
        <v>2</v>
      </c>
      <c r="E2" s="4" t="s">
        <v>3</v>
      </c>
      <c r="F2" s="4" t="s">
        <v>6</v>
      </c>
      <c r="G2" s="5" t="s">
        <v>5</v>
      </c>
      <c r="H2" s="5" t="s">
        <v>4</v>
      </c>
      <c r="I2" s="3" t="s">
        <v>24</v>
      </c>
      <c r="J2" s="3" t="s">
        <v>25</v>
      </c>
      <c r="K2" s="4" t="s">
        <v>26</v>
      </c>
      <c r="L2" s="4" t="s">
        <v>27</v>
      </c>
    </row>
    <row r="3" spans="1:12" ht="24.6" x14ac:dyDescent="0.3">
      <c r="A3" s="6">
        <v>5</v>
      </c>
      <c r="B3" s="107">
        <v>1</v>
      </c>
      <c r="C3" s="108" t="str">
        <f>VLOOKUP($A3,'REMISE DOSSARDS'!$A$2:$H$102,3,FALSE)</f>
        <v>MORACCHIOLI</v>
      </c>
      <c r="D3" s="108" t="str">
        <f>VLOOKUP($A3,'REMISE DOSSARDS'!$A$2:$H$102,4,FALSE)</f>
        <v>THOMAS</v>
      </c>
      <c r="E3" s="108" t="str">
        <f>VLOOKUP($A3,'REMISE DOSSARDS'!$A$2:$H$102,5,FALSE)</f>
        <v>H</v>
      </c>
      <c r="F3" s="108" t="str">
        <f>VLOOKUP($A3,'REMISE DOSSARDS'!$A$2:$H$102,6,FALSE)</f>
        <v>UFO</v>
      </c>
      <c r="G3" s="108" t="str">
        <f>VLOOKUP($A3,'REMISE DOSSARDS'!$A$2:$H$102,7,FALSE)</f>
        <v>Ufolep 1</v>
      </c>
      <c r="H3" s="108" t="str">
        <f>VLOOKUP($A3,'REMISE DOSSARDS'!$A$2:$H$102,8,FALSE)</f>
        <v>TEAM 3 MASSIFS</v>
      </c>
      <c r="I3" s="109">
        <v>1</v>
      </c>
      <c r="J3" s="109">
        <v>1</v>
      </c>
      <c r="K3" s="109">
        <v>3</v>
      </c>
      <c r="L3" s="110">
        <f>SUM(I3:K3)</f>
        <v>5</v>
      </c>
    </row>
    <row r="4" spans="1:12" ht="24.6" x14ac:dyDescent="0.3">
      <c r="A4" s="6">
        <v>2</v>
      </c>
      <c r="B4" s="107">
        <v>2</v>
      </c>
      <c r="C4" s="108" t="str">
        <f>VLOOKUP($A4,'REMISE DOSSARDS'!$A$2:$H$102,3,FALSE)</f>
        <v>CERESA</v>
      </c>
      <c r="D4" s="108" t="str">
        <f>VLOOKUP($A4,'REMISE DOSSARDS'!$A$2:$H$102,4,FALSE)</f>
        <v>TIMOTHE</v>
      </c>
      <c r="E4" s="108" t="str">
        <f>VLOOKUP($A4,'REMISE DOSSARDS'!$A$2:$H$102,5,FALSE)</f>
        <v>H</v>
      </c>
      <c r="F4" s="108"/>
      <c r="G4" s="108" t="str">
        <f>VLOOKUP($A4,'REMISE DOSSARDS'!$A$2:$H$102,7,FALSE)</f>
        <v>Ufolep 1</v>
      </c>
      <c r="H4" s="108" t="str">
        <f>VLOOKUP($A4,'REMISE DOSSARDS'!$A$2:$H$102,8,FALSE)</f>
        <v>TEAM VERCORS</v>
      </c>
      <c r="I4" s="109">
        <v>2</v>
      </c>
      <c r="J4" s="109">
        <v>2</v>
      </c>
      <c r="K4" s="109">
        <v>1</v>
      </c>
      <c r="L4" s="110">
        <f>SUM(I4:K4)</f>
        <v>5</v>
      </c>
    </row>
    <row r="5" spans="1:12" ht="24.6" x14ac:dyDescent="0.3">
      <c r="A5" s="6">
        <v>3</v>
      </c>
      <c r="B5" s="107">
        <v>3</v>
      </c>
      <c r="C5" s="108" t="str">
        <f>VLOOKUP($A5,'REMISE DOSSARDS'!$A$2:$H$102,3,FALSE)</f>
        <v>GAMBINI</v>
      </c>
      <c r="D5" s="108" t="str">
        <f>VLOOKUP($A5,'REMISE DOSSARDS'!$A$2:$H$102,4,FALSE)</f>
        <v>ELIOTT</v>
      </c>
      <c r="E5" s="108" t="str">
        <f>VLOOKUP($A5,'REMISE DOSSARDS'!$A$2:$H$102,5,FALSE)</f>
        <v>H</v>
      </c>
      <c r="F5" s="108"/>
      <c r="G5" s="108" t="str">
        <f>VLOOKUP($A5,'REMISE DOSSARDS'!$A$2:$H$102,7,FALSE)</f>
        <v>Ufolep 1</v>
      </c>
      <c r="H5" s="108" t="str">
        <f>VLOOKUP($A5,'REMISE DOSSARDS'!$A$2:$H$102,8,FALSE)</f>
        <v>VS2M</v>
      </c>
      <c r="I5" s="109">
        <v>4</v>
      </c>
      <c r="J5" s="109">
        <v>3</v>
      </c>
      <c r="K5" s="109">
        <v>2</v>
      </c>
      <c r="L5" s="110">
        <f>SUM(I5:K5)</f>
        <v>9</v>
      </c>
    </row>
    <row r="6" spans="1:12" ht="24.6" x14ac:dyDescent="0.3">
      <c r="A6" s="6">
        <v>1</v>
      </c>
      <c r="B6" s="20">
        <v>4</v>
      </c>
      <c r="C6" s="7" t="str">
        <f>VLOOKUP($A6,'REMISE DOSSARDS'!$A$2:$H$102,3,FALSE)</f>
        <v>CERESA</v>
      </c>
      <c r="D6" s="7" t="str">
        <f>VLOOKUP($A6,'REMISE DOSSARDS'!$A$2:$H$102,4,FALSE)</f>
        <v>JEAN FRANCOIS</v>
      </c>
      <c r="E6" s="7" t="str">
        <f>VLOOKUP($A6,'REMISE DOSSARDS'!$A$2:$H$102,5,FALSE)</f>
        <v>H</v>
      </c>
      <c r="F6" s="7"/>
      <c r="G6" s="7" t="str">
        <f>VLOOKUP($A6,'REMISE DOSSARDS'!$A$2:$H$102,7,FALSE)</f>
        <v>Ufolep 1</v>
      </c>
      <c r="H6" s="7" t="str">
        <f>VLOOKUP($A6,'REMISE DOSSARDS'!$A$2:$H$102,8,FALSE)</f>
        <v>TEAM VERCORS</v>
      </c>
      <c r="I6" s="8">
        <v>5</v>
      </c>
      <c r="J6" s="8">
        <v>5</v>
      </c>
      <c r="K6" s="8">
        <v>4</v>
      </c>
      <c r="L6" s="33">
        <f>SUM(I6:K6)</f>
        <v>14</v>
      </c>
    </row>
    <row r="7" spans="1:12" ht="24.6" x14ac:dyDescent="0.3">
      <c r="A7" s="6">
        <v>4</v>
      </c>
      <c r="B7" s="20" t="s">
        <v>161</v>
      </c>
      <c r="C7" s="7" t="str">
        <f>VLOOKUP($A7,'REMISE DOSSARDS'!$A$2:$H$102,3,FALSE)</f>
        <v>PELLERIN</v>
      </c>
      <c r="D7" s="7" t="str">
        <f>VLOOKUP($A7,'REMISE DOSSARDS'!$A$2:$H$102,4,FALSE)</f>
        <v>Xavier</v>
      </c>
      <c r="E7" s="7" t="str">
        <f>VLOOKUP($A7,'REMISE DOSSARDS'!$A$2:$H$102,5,FALSE)</f>
        <v>H</v>
      </c>
      <c r="F7" s="7" t="str">
        <f>VLOOKUP($A7,'REMISE DOSSARDS'!$A$2:$H$102,6,FALSE)</f>
        <v>UFO</v>
      </c>
      <c r="G7" s="7" t="str">
        <f>VLOOKUP($A7,'REMISE DOSSARDS'!$A$2:$H$102,7,FALSE)</f>
        <v>Ufolep 1</v>
      </c>
      <c r="H7" s="7" t="str">
        <f>VLOOKUP($A7,'REMISE DOSSARDS'!$A$2:$H$102,8,FALSE)</f>
        <v>ALPIN'S WHEEL TEAM</v>
      </c>
      <c r="I7" s="8">
        <v>3</v>
      </c>
      <c r="J7" s="8">
        <v>4</v>
      </c>
      <c r="K7" s="8" t="s">
        <v>31</v>
      </c>
      <c r="L7" s="33" t="s">
        <v>32</v>
      </c>
    </row>
    <row r="8" spans="1:12" ht="24.6" x14ac:dyDescent="0.3">
      <c r="A8" s="6"/>
      <c r="B8" s="20"/>
      <c r="C8" s="7"/>
      <c r="D8" s="7"/>
      <c r="E8" s="7"/>
      <c r="F8" s="7"/>
      <c r="G8" s="7"/>
      <c r="H8" s="7"/>
      <c r="I8" s="8"/>
      <c r="J8" s="8"/>
      <c r="K8" s="8"/>
      <c r="L8" s="33"/>
    </row>
    <row r="9" spans="1:12" ht="24.6" x14ac:dyDescent="0.3">
      <c r="A9" s="25"/>
      <c r="B9" s="26"/>
      <c r="C9" s="27"/>
      <c r="D9" s="27"/>
      <c r="E9" s="12"/>
      <c r="F9" s="12"/>
      <c r="G9" s="14"/>
      <c r="H9" s="28"/>
      <c r="I9" s="29"/>
      <c r="J9" s="30"/>
      <c r="K9" s="31"/>
      <c r="L9" s="31"/>
    </row>
    <row r="10" spans="1:12" ht="51.75" customHeight="1" x14ac:dyDescent="0.3">
      <c r="A10" s="103" t="s">
        <v>22</v>
      </c>
      <c r="B10" s="104"/>
      <c r="C10" s="1">
        <v>2</v>
      </c>
      <c r="D10" s="22"/>
      <c r="E10" s="105" t="s">
        <v>160</v>
      </c>
      <c r="F10" s="105"/>
      <c r="G10" s="9"/>
      <c r="H10" s="22"/>
      <c r="I10" s="22"/>
      <c r="J10" s="11" t="s">
        <v>23</v>
      </c>
      <c r="K10" s="23">
        <f>COUNTA(A12:A23)</f>
        <v>12</v>
      </c>
      <c r="L10" s="24"/>
    </row>
    <row r="11" spans="1:12" ht="26.4" x14ac:dyDescent="0.3">
      <c r="A11" s="2" t="s">
        <v>0</v>
      </c>
      <c r="B11" s="3" t="s">
        <v>21</v>
      </c>
      <c r="C11" s="4" t="s">
        <v>1</v>
      </c>
      <c r="D11" s="5" t="s">
        <v>2</v>
      </c>
      <c r="E11" s="4" t="s">
        <v>3</v>
      </c>
      <c r="F11" s="4" t="s">
        <v>6</v>
      </c>
      <c r="G11" s="5" t="s">
        <v>5</v>
      </c>
      <c r="H11" s="5" t="s">
        <v>4</v>
      </c>
      <c r="I11" s="3" t="s">
        <v>24</v>
      </c>
      <c r="J11" s="3" t="s">
        <v>25</v>
      </c>
      <c r="K11" s="4" t="s">
        <v>26</v>
      </c>
      <c r="L11" s="4" t="s">
        <v>27</v>
      </c>
    </row>
    <row r="12" spans="1:12" ht="24.6" x14ac:dyDescent="0.3">
      <c r="A12" s="6">
        <v>16</v>
      </c>
      <c r="B12" s="107">
        <v>1</v>
      </c>
      <c r="C12" s="108" t="str">
        <f>VLOOKUP($A12,'REMISE DOSSARDS'!$A$2:$H$102,3,FALSE)</f>
        <v>MERLO</v>
      </c>
      <c r="D12" s="108" t="str">
        <f>VLOOKUP($A12,'REMISE DOSSARDS'!$A$2:$H$102,4,FALSE)</f>
        <v>Raphaël</v>
      </c>
      <c r="E12" s="108" t="str">
        <f>VLOOKUP($A12,'REMISE DOSSARDS'!$A$2:$H$102,5,FALSE)</f>
        <v>H</v>
      </c>
      <c r="F12" s="108" t="str">
        <f>VLOOKUP($A12,'REMISE DOSSARDS'!$A$2:$H$102,6,FALSE)</f>
        <v>UFO</v>
      </c>
      <c r="G12" s="108" t="str">
        <f>VLOOKUP($A12,'REMISE DOSSARDS'!$A$2:$H$102,7,FALSE)</f>
        <v>Ufolep 2</v>
      </c>
      <c r="H12" s="108" t="str">
        <f>VLOOKUP($A12,'REMISE DOSSARDS'!$A$2:$H$102,8,FALSE)</f>
        <v>TEAM 3 MASSIFS</v>
      </c>
      <c r="I12" s="109">
        <v>3</v>
      </c>
      <c r="J12" s="109">
        <v>1</v>
      </c>
      <c r="K12" s="109">
        <v>5</v>
      </c>
      <c r="L12" s="110">
        <f>SUM(I12:K12)</f>
        <v>9</v>
      </c>
    </row>
    <row r="13" spans="1:12" ht="24.6" x14ac:dyDescent="0.3">
      <c r="A13" s="6">
        <v>10</v>
      </c>
      <c r="B13" s="107">
        <v>2</v>
      </c>
      <c r="C13" s="108" t="str">
        <f>VLOOKUP($A13,'REMISE DOSSARDS'!$A$2:$H$102,3,FALSE)</f>
        <v>CLAQUIN</v>
      </c>
      <c r="D13" s="108" t="str">
        <f>VLOOKUP($A13,'REMISE DOSSARDS'!$A$2:$H$102,4,FALSE)</f>
        <v>MATHIEU</v>
      </c>
      <c r="E13" s="108" t="str">
        <f>VLOOKUP($A13,'REMISE DOSSARDS'!$A$2:$H$102,5,FALSE)</f>
        <v>H</v>
      </c>
      <c r="F13" s="108"/>
      <c r="G13" s="108" t="str">
        <f>VLOOKUP($A13,'REMISE DOSSARDS'!$A$2:$H$102,7,FALSE)</f>
        <v>Ufolep 2</v>
      </c>
      <c r="H13" s="108" t="str">
        <f>VLOOKUP($A13,'REMISE DOSSARDS'!$A$2:$H$102,8,FALSE)</f>
        <v>FONTANIL TRIATHLON</v>
      </c>
      <c r="I13" s="109">
        <v>1</v>
      </c>
      <c r="J13" s="109">
        <v>7</v>
      </c>
      <c r="K13" s="109">
        <v>3</v>
      </c>
      <c r="L13" s="110">
        <f>SUM(I13:K13)</f>
        <v>11</v>
      </c>
    </row>
    <row r="14" spans="1:12" ht="24.6" x14ac:dyDescent="0.3">
      <c r="A14" s="6">
        <v>6</v>
      </c>
      <c r="B14" s="107">
        <v>3</v>
      </c>
      <c r="C14" s="108" t="str">
        <f>VLOOKUP($A14,'REMISE DOSSARDS'!$A$2:$H$102,3,FALSE)</f>
        <v>BOSQUELLE</v>
      </c>
      <c r="D14" s="108" t="str">
        <f>VLOOKUP($A14,'REMISE DOSSARDS'!$A$2:$H$102,4,FALSE)</f>
        <v>TAO</v>
      </c>
      <c r="E14" s="108" t="str">
        <f>VLOOKUP($A14,'REMISE DOSSARDS'!$A$2:$H$102,5,FALSE)</f>
        <v>H</v>
      </c>
      <c r="F14" s="108"/>
      <c r="G14" s="108" t="str">
        <f>VLOOKUP($A14,'REMISE DOSSARDS'!$A$2:$H$102,7,FALSE)</f>
        <v>Ufolep 2</v>
      </c>
      <c r="H14" s="108" t="str">
        <f>VLOOKUP($A14,'REMISE DOSSARDS'!$A$2:$H$102,8,FALSE)</f>
        <v>TROLL TEAM TRIATHLON</v>
      </c>
      <c r="I14" s="109">
        <v>5</v>
      </c>
      <c r="J14" s="109">
        <v>2</v>
      </c>
      <c r="K14" s="109">
        <v>6</v>
      </c>
      <c r="L14" s="110">
        <f>SUM(I14:K14)</f>
        <v>13</v>
      </c>
    </row>
    <row r="15" spans="1:12" ht="24.6" x14ac:dyDescent="0.3">
      <c r="A15" s="6">
        <v>15</v>
      </c>
      <c r="B15" s="20">
        <v>4</v>
      </c>
      <c r="C15" s="7" t="str">
        <f>VLOOKUP($A15,'REMISE DOSSARDS'!$A$2:$H$102,3,FALSE)</f>
        <v>PUDELKO</v>
      </c>
      <c r="D15" s="7" t="str">
        <f>VLOOKUP($A15,'REMISE DOSSARDS'!$A$2:$H$102,4,FALSE)</f>
        <v>SEBASTIEN</v>
      </c>
      <c r="E15" s="7" t="str">
        <f>VLOOKUP($A15,'REMISE DOSSARDS'!$A$2:$H$102,5,FALSE)</f>
        <v>H</v>
      </c>
      <c r="F15" s="7" t="str">
        <f>VLOOKUP($A15,'REMISE DOSSARDS'!$A$2:$H$102,6,FALSE)</f>
        <v>UFO</v>
      </c>
      <c r="G15" s="7" t="str">
        <f>VLOOKUP($A15,'REMISE DOSSARDS'!$A$2:$H$102,7,FALSE)</f>
        <v>Ufolep 2</v>
      </c>
      <c r="H15" s="7" t="str">
        <f>VLOOKUP($A15,'REMISE DOSSARDS'!$A$2:$H$102,8,FALSE)</f>
        <v>LA TRONCHE VELO SPORT</v>
      </c>
      <c r="I15" s="8">
        <v>2</v>
      </c>
      <c r="J15" s="8">
        <v>11</v>
      </c>
      <c r="K15" s="8">
        <v>1</v>
      </c>
      <c r="L15" s="33">
        <f>SUM(I15:K15)</f>
        <v>14</v>
      </c>
    </row>
    <row r="16" spans="1:12" ht="24.6" x14ac:dyDescent="0.3">
      <c r="A16" s="6">
        <v>17</v>
      </c>
      <c r="B16" s="20">
        <v>5</v>
      </c>
      <c r="C16" s="7" t="str">
        <f>VLOOKUP($A16,'REMISE DOSSARDS'!$A$2:$H$102,3,FALSE)</f>
        <v>PIGNEDE</v>
      </c>
      <c r="D16" s="7" t="str">
        <f>VLOOKUP($A16,'REMISE DOSSARDS'!$A$2:$H$102,4,FALSE)</f>
        <v>Pierre</v>
      </c>
      <c r="E16" s="7" t="str">
        <f>VLOOKUP($A16,'REMISE DOSSARDS'!$A$2:$H$102,5,FALSE)</f>
        <v>H</v>
      </c>
      <c r="F16" s="7" t="str">
        <f>VLOOKUP($A16,'REMISE DOSSARDS'!$A$2:$H$102,6,FALSE)</f>
        <v>UFO</v>
      </c>
      <c r="G16" s="7" t="str">
        <f>VLOOKUP($A16,'REMISE DOSSARDS'!$A$2:$H$102,7,FALSE)</f>
        <v>Ufolep 2</v>
      </c>
      <c r="H16" s="7" t="str">
        <f>VLOOKUP($A16,'REMISE DOSSARDS'!$A$2:$H$102,8,FALSE)</f>
        <v>GUTRI</v>
      </c>
      <c r="I16" s="8">
        <v>4</v>
      </c>
      <c r="J16" s="8">
        <v>10</v>
      </c>
      <c r="K16" s="8">
        <v>4</v>
      </c>
      <c r="L16" s="33">
        <f>SUM(I16:K16)</f>
        <v>18</v>
      </c>
    </row>
    <row r="17" spans="1:12" ht="24.6" x14ac:dyDescent="0.3">
      <c r="A17" s="6">
        <v>7</v>
      </c>
      <c r="B17" s="20">
        <v>6</v>
      </c>
      <c r="C17" s="7" t="str">
        <f>VLOOKUP($A17,'REMISE DOSSARDS'!$A$2:$H$102,3,FALSE)</f>
        <v>MORACCHIOLI</v>
      </c>
      <c r="D17" s="7" t="str">
        <f>VLOOKUP($A17,'REMISE DOSSARDS'!$A$2:$H$102,4,FALSE)</f>
        <v>NOE</v>
      </c>
      <c r="E17" s="7" t="str">
        <f>VLOOKUP($A17,'REMISE DOSSARDS'!$A$2:$H$102,5,FALSE)</f>
        <v>H</v>
      </c>
      <c r="F17" s="7" t="str">
        <f>VLOOKUP($A17,'REMISE DOSSARDS'!$A$2:$H$102,6,FALSE)</f>
        <v>UFO</v>
      </c>
      <c r="G17" s="7" t="str">
        <f>VLOOKUP($A17,'REMISE DOSSARDS'!$A$2:$H$102,7,FALSE)</f>
        <v>Ufolep 2</v>
      </c>
      <c r="H17" s="7" t="str">
        <f>VLOOKUP($A17,'REMISE DOSSARDS'!$A$2:$H$102,8,FALSE)</f>
        <v>TEAM 3 MASSIFS</v>
      </c>
      <c r="I17" s="8">
        <v>6</v>
      </c>
      <c r="J17" s="8">
        <v>5</v>
      </c>
      <c r="K17" s="8">
        <v>7</v>
      </c>
      <c r="L17" s="33">
        <f>SUM(I17:K17)</f>
        <v>18</v>
      </c>
    </row>
    <row r="18" spans="1:12" ht="24.6" x14ac:dyDescent="0.3">
      <c r="A18" s="6">
        <v>11</v>
      </c>
      <c r="B18" s="20">
        <v>7</v>
      </c>
      <c r="C18" s="7" t="str">
        <f>VLOOKUP($A18,'REMISE DOSSARDS'!$A$2:$H$102,3,FALSE)</f>
        <v>COLLETTE</v>
      </c>
      <c r="D18" s="7" t="str">
        <f>VLOOKUP($A18,'REMISE DOSSARDS'!$A$2:$H$102,4,FALSE)</f>
        <v>MAXIME</v>
      </c>
      <c r="E18" s="7" t="str">
        <f>VLOOKUP($A18,'REMISE DOSSARDS'!$A$2:$H$102,5,FALSE)</f>
        <v>H</v>
      </c>
      <c r="F18" s="7" t="str">
        <f>VLOOKUP($A18,'REMISE DOSSARDS'!$A$2:$H$102,6,FALSE)</f>
        <v>UFO</v>
      </c>
      <c r="G18" s="7" t="str">
        <f>VLOOKUP($A18,'REMISE DOSSARDS'!$A$2:$H$102,7,FALSE)</f>
        <v>Ufolep 2</v>
      </c>
      <c r="H18" s="7" t="str">
        <f>VLOOKUP($A18,'REMISE DOSSARDS'!$A$2:$H$102,8,FALSE)</f>
        <v>TEAM 3 MASSIFS</v>
      </c>
      <c r="I18" s="8">
        <v>8</v>
      </c>
      <c r="J18" s="8">
        <v>3</v>
      </c>
      <c r="K18" s="8">
        <v>8</v>
      </c>
      <c r="L18" s="33">
        <f>SUM(I18:K18)</f>
        <v>19</v>
      </c>
    </row>
    <row r="19" spans="1:12" ht="24.6" x14ac:dyDescent="0.3">
      <c r="A19" s="6">
        <v>8</v>
      </c>
      <c r="B19" s="20">
        <v>8</v>
      </c>
      <c r="C19" s="7" t="str">
        <f>VLOOKUP($A19,'REMISE DOSSARDS'!$A$2:$H$102,3,FALSE)</f>
        <v>ABADIE</v>
      </c>
      <c r="D19" s="7" t="str">
        <f>VLOOKUP($A19,'REMISE DOSSARDS'!$A$2:$H$102,4,FALSE)</f>
        <v>MALO</v>
      </c>
      <c r="E19" s="7" t="str">
        <f>VLOOKUP($A19,'REMISE DOSSARDS'!$A$2:$H$102,5,FALSE)</f>
        <v>H</v>
      </c>
      <c r="F19" s="7"/>
      <c r="G19" s="7" t="str">
        <f>VLOOKUP($A19,'REMISE DOSSARDS'!$A$2:$H$102,7,FALSE)</f>
        <v>Ufolep 2</v>
      </c>
      <c r="H19" s="7" t="str">
        <f>VLOOKUP($A19,'REMISE DOSSARDS'!$A$2:$H$102,8,FALSE)</f>
        <v>TROLL TEAM TRIATHLON</v>
      </c>
      <c r="I19" s="8">
        <v>7</v>
      </c>
      <c r="J19" s="8">
        <v>4</v>
      </c>
      <c r="K19" s="8">
        <v>9</v>
      </c>
      <c r="L19" s="33">
        <f>SUM(I19:K19)</f>
        <v>20</v>
      </c>
    </row>
    <row r="20" spans="1:12" ht="24.6" x14ac:dyDescent="0.3">
      <c r="A20" s="6">
        <v>13</v>
      </c>
      <c r="B20" s="20">
        <v>9</v>
      </c>
      <c r="C20" s="7" t="str">
        <f>VLOOKUP($A20,'REMISE DOSSARDS'!$A$2:$H$102,3,FALSE)</f>
        <v>DELETROY</v>
      </c>
      <c r="D20" s="7" t="str">
        <f>VLOOKUP($A20,'REMISE DOSSARDS'!$A$2:$H$102,4,FALSE)</f>
        <v>AXEL</v>
      </c>
      <c r="E20" s="7" t="str">
        <f>VLOOKUP($A20,'REMISE DOSSARDS'!$A$2:$H$102,5,FALSE)</f>
        <v>H</v>
      </c>
      <c r="F20" s="7" t="str">
        <f>VLOOKUP($A20,'REMISE DOSSARDS'!$A$2:$H$102,6,FALSE)</f>
        <v>UFO</v>
      </c>
      <c r="G20" s="7" t="str">
        <f>VLOOKUP($A20,'REMISE DOSSARDS'!$A$2:$H$102,7,FALSE)</f>
        <v>Ufolep 2</v>
      </c>
      <c r="H20" s="7" t="str">
        <f>VLOOKUP($A20,'REMISE DOSSARDS'!$A$2:$H$102,8,FALSE)</f>
        <v>LE FONTANIL CYCLISME</v>
      </c>
      <c r="I20" s="8">
        <v>9</v>
      </c>
      <c r="J20" s="8">
        <v>9</v>
      </c>
      <c r="K20" s="8">
        <v>2</v>
      </c>
      <c r="L20" s="33">
        <f>SUM(I20:K20)</f>
        <v>20</v>
      </c>
    </row>
    <row r="21" spans="1:12" ht="24.6" x14ac:dyDescent="0.3">
      <c r="A21" s="6">
        <v>14</v>
      </c>
      <c r="B21" s="20" t="s">
        <v>161</v>
      </c>
      <c r="C21" s="7" t="str">
        <f>VLOOKUP($A21,'REMISE DOSSARDS'!$A$2:$H$102,3,FALSE)</f>
        <v>DOHEN</v>
      </c>
      <c r="D21" s="7" t="str">
        <f>VLOOKUP($A21,'REMISE DOSSARDS'!$A$2:$H$102,4,FALSE)</f>
        <v>CHRISTOPHE</v>
      </c>
      <c r="E21" s="7" t="str">
        <f>VLOOKUP($A21,'REMISE DOSSARDS'!$A$2:$H$102,5,FALSE)</f>
        <v>H</v>
      </c>
      <c r="F21" s="7" t="str">
        <f>VLOOKUP($A21,'REMISE DOSSARDS'!$A$2:$H$102,6,FALSE)</f>
        <v>UFO</v>
      </c>
      <c r="G21" s="7" t="str">
        <f>VLOOKUP($A21,'REMISE DOSSARDS'!$A$2:$H$102,7,FALSE)</f>
        <v>Ufolep 2</v>
      </c>
      <c r="H21" s="7" t="str">
        <f>VLOOKUP($A21,'REMISE DOSSARDS'!$A$2:$H$102,8,FALSE)</f>
        <v>CYCLO CLUB DE GIERES</v>
      </c>
      <c r="I21" s="8">
        <v>11</v>
      </c>
      <c r="J21" s="8">
        <v>8</v>
      </c>
      <c r="K21" s="8" t="s">
        <v>32</v>
      </c>
      <c r="L21" s="33" t="s">
        <v>32</v>
      </c>
    </row>
    <row r="22" spans="1:12" ht="24.6" x14ac:dyDescent="0.3">
      <c r="A22" s="6">
        <v>9</v>
      </c>
      <c r="B22" s="20" t="s">
        <v>161</v>
      </c>
      <c r="C22" s="7" t="str">
        <f>VLOOKUP($A22,'REMISE DOSSARDS'!$A$2:$H$102,3,FALSE)</f>
        <v>BRAGAGNOLO</v>
      </c>
      <c r="D22" s="7" t="str">
        <f>VLOOKUP($A22,'REMISE DOSSARDS'!$A$2:$H$102,4,FALSE)</f>
        <v>LEO</v>
      </c>
      <c r="E22" s="7" t="str">
        <f>VLOOKUP($A22,'REMISE DOSSARDS'!$A$2:$H$102,5,FALSE)</f>
        <v>H</v>
      </c>
      <c r="F22" s="7"/>
      <c r="G22" s="7" t="str">
        <f>VLOOKUP($A22,'REMISE DOSSARDS'!$A$2:$H$102,7,FALSE)</f>
        <v>Ufolep 2</v>
      </c>
      <c r="H22" s="7" t="str">
        <f>VLOOKUP($A22,'REMISE DOSSARDS'!$A$2:$H$102,8,FALSE)</f>
        <v>UC RIVES</v>
      </c>
      <c r="I22" s="8">
        <v>10</v>
      </c>
      <c r="J22" s="8">
        <v>6</v>
      </c>
      <c r="K22" s="8" t="s">
        <v>31</v>
      </c>
      <c r="L22" s="33" t="s">
        <v>32</v>
      </c>
    </row>
    <row r="23" spans="1:12" ht="24.6" x14ac:dyDescent="0.3">
      <c r="A23" s="6">
        <v>12</v>
      </c>
      <c r="B23" s="20" t="s">
        <v>161</v>
      </c>
      <c r="C23" s="7" t="str">
        <f>VLOOKUP($A23,'REMISE DOSSARDS'!$A$2:$H$102,3,FALSE)</f>
        <v>DE FLAUGERGUES</v>
      </c>
      <c r="D23" s="7" t="str">
        <f>VLOOKUP($A23,'REMISE DOSSARDS'!$A$2:$H$102,4,FALSE)</f>
        <v>FRANCOIS</v>
      </c>
      <c r="E23" s="7" t="str">
        <f>VLOOKUP($A23,'REMISE DOSSARDS'!$A$2:$H$102,5,FALSE)</f>
        <v>H</v>
      </c>
      <c r="F23" s="7" t="str">
        <f>VLOOKUP($A23,'REMISE DOSSARDS'!$A$2:$H$102,6,FALSE)</f>
        <v>UFO</v>
      </c>
      <c r="G23" s="7" t="str">
        <f>VLOOKUP($A23,'REMISE DOSSARDS'!$A$2:$H$102,7,FALSE)</f>
        <v>Ufolep 2</v>
      </c>
      <c r="H23" s="7" t="str">
        <f>VLOOKUP($A23,'REMISE DOSSARDS'!$A$2:$H$102,8,FALSE)</f>
        <v>SUD GRESIVAUDAN CYCLISME</v>
      </c>
      <c r="I23" s="8">
        <v>12</v>
      </c>
      <c r="J23" s="8">
        <v>12</v>
      </c>
      <c r="K23" s="8" t="s">
        <v>31</v>
      </c>
      <c r="L23" s="33" t="s">
        <v>32</v>
      </c>
    </row>
    <row r="24" spans="1:12" ht="24.6" x14ac:dyDescent="0.3">
      <c r="A24" s="6"/>
      <c r="B24" s="20"/>
      <c r="C24" s="7"/>
      <c r="D24" s="7"/>
      <c r="E24" s="7"/>
      <c r="F24" s="7"/>
      <c r="G24" s="7"/>
      <c r="H24" s="7"/>
      <c r="I24" s="8"/>
      <c r="J24" s="8"/>
      <c r="K24" s="8"/>
      <c r="L24" s="33"/>
    </row>
    <row r="25" spans="1:12" ht="24.6" x14ac:dyDescent="0.3">
      <c r="A25" s="6"/>
      <c r="B25" s="20"/>
      <c r="C25" s="7"/>
      <c r="D25" s="7"/>
      <c r="E25" s="7"/>
      <c r="F25" s="7"/>
      <c r="G25" s="7"/>
      <c r="H25" s="7"/>
      <c r="I25" s="8"/>
      <c r="J25" s="8"/>
      <c r="K25" s="8"/>
      <c r="L25" s="33"/>
    </row>
    <row r="26" spans="1:12" ht="24.6" x14ac:dyDescent="0.3">
      <c r="A26" s="6"/>
      <c r="B26" s="20"/>
      <c r="C26" s="7"/>
      <c r="D26" s="7"/>
      <c r="E26" s="7"/>
      <c r="F26" s="7"/>
      <c r="G26" s="7"/>
      <c r="H26" s="7"/>
      <c r="I26" s="8"/>
      <c r="J26" s="8"/>
      <c r="K26" s="8"/>
      <c r="L26" s="33"/>
    </row>
    <row r="27" spans="1:12" ht="24.6" x14ac:dyDescent="0.3">
      <c r="A27" s="25"/>
      <c r="B27" s="26"/>
      <c r="C27" s="27"/>
      <c r="D27" s="27"/>
      <c r="E27" s="12"/>
      <c r="F27" s="12"/>
      <c r="G27" s="14"/>
      <c r="H27" s="28"/>
      <c r="I27" s="29"/>
      <c r="J27" s="30"/>
      <c r="K27" s="12"/>
      <c r="L27" s="32"/>
    </row>
    <row r="28" spans="1:12" ht="47.25" customHeight="1" x14ac:dyDescent="0.3">
      <c r="A28" s="103" t="s">
        <v>22</v>
      </c>
      <c r="B28" s="104"/>
      <c r="C28" s="1">
        <v>3</v>
      </c>
      <c r="D28" s="22"/>
      <c r="E28" s="105" t="s">
        <v>160</v>
      </c>
      <c r="F28" s="105"/>
      <c r="G28" s="9"/>
      <c r="H28" s="22"/>
      <c r="I28" s="22"/>
      <c r="J28" s="11" t="s">
        <v>23</v>
      </c>
      <c r="K28" s="23">
        <f>COUNTA(A30:A51)</f>
        <v>22</v>
      </c>
      <c r="L28" s="24"/>
    </row>
    <row r="29" spans="1:12" ht="26.4" x14ac:dyDescent="0.3">
      <c r="A29" s="2" t="s">
        <v>0</v>
      </c>
      <c r="B29" s="3" t="s">
        <v>21</v>
      </c>
      <c r="C29" s="4" t="s">
        <v>1</v>
      </c>
      <c r="D29" s="5" t="s">
        <v>2</v>
      </c>
      <c r="E29" s="4" t="s">
        <v>3</v>
      </c>
      <c r="F29" s="4" t="s">
        <v>6</v>
      </c>
      <c r="G29" s="5" t="s">
        <v>5</v>
      </c>
      <c r="H29" s="5" t="s">
        <v>4</v>
      </c>
      <c r="I29" s="3" t="s">
        <v>24</v>
      </c>
      <c r="J29" s="3" t="s">
        <v>25</v>
      </c>
      <c r="K29" s="4" t="s">
        <v>26</v>
      </c>
      <c r="L29" s="4" t="s">
        <v>27</v>
      </c>
    </row>
    <row r="30" spans="1:12" ht="23.25" customHeight="1" x14ac:dyDescent="0.3">
      <c r="A30" s="6">
        <v>29</v>
      </c>
      <c r="B30" s="107">
        <v>1</v>
      </c>
      <c r="C30" s="108" t="str">
        <f>VLOOKUP($A30,'REMISE DOSSARDS'!$A$2:$H$102,3,FALSE)</f>
        <v>JACQUET</v>
      </c>
      <c r="D30" s="108" t="str">
        <f>VLOOKUP($A30,'REMISE DOSSARDS'!$A$2:$H$102,4,FALSE)</f>
        <v>Mathieu</v>
      </c>
      <c r="E30" s="108" t="str">
        <f>VLOOKUP($A30,'REMISE DOSSARDS'!$A$2:$H$102,5,FALSE)</f>
        <v>H</v>
      </c>
      <c r="F30" s="108" t="str">
        <f>VLOOKUP($A30,'REMISE DOSSARDS'!$A$2:$H$102,6,FALSE)</f>
        <v>UFO</v>
      </c>
      <c r="G30" s="108" t="str">
        <f>VLOOKUP($A30,'REMISE DOSSARDS'!$A$2:$H$102,7,FALSE)</f>
        <v>Ufolep 3</v>
      </c>
      <c r="H30" s="108" t="str">
        <f>VLOOKUP($A30,'REMISE DOSSARDS'!$A$2:$H$102,8,FALSE)</f>
        <v>JARRIE CHAMP SUR DRAC CYCLISME</v>
      </c>
      <c r="I30" s="109">
        <v>1</v>
      </c>
      <c r="J30" s="109">
        <v>1</v>
      </c>
      <c r="K30" s="111">
        <v>1</v>
      </c>
      <c r="L30" s="110">
        <f>SUM(I30:K30)</f>
        <v>3</v>
      </c>
    </row>
    <row r="31" spans="1:12" ht="23.25" customHeight="1" x14ac:dyDescent="0.3">
      <c r="A31" s="6">
        <v>26</v>
      </c>
      <c r="B31" s="107">
        <v>2</v>
      </c>
      <c r="C31" s="108" t="str">
        <f>VLOOKUP($A31,'REMISE DOSSARDS'!$A$2:$H$102,3,FALSE)</f>
        <v>GERRAND</v>
      </c>
      <c r="D31" s="108" t="str">
        <f>VLOOKUP($A31,'REMISE DOSSARDS'!$A$2:$H$102,4,FALSE)</f>
        <v>ANTONY</v>
      </c>
      <c r="E31" s="108" t="str">
        <f>VLOOKUP($A31,'REMISE DOSSARDS'!$A$2:$H$102,5,FALSE)</f>
        <v>H</v>
      </c>
      <c r="F31" s="108" t="str">
        <f>VLOOKUP($A31,'REMISE DOSSARDS'!$A$2:$H$102,6,FALSE)</f>
        <v>UFO</v>
      </c>
      <c r="G31" s="108" t="str">
        <f>VLOOKUP($A31,'REMISE DOSSARDS'!$A$2:$H$102,7,FALSE)</f>
        <v>Ufolep 3</v>
      </c>
      <c r="H31" s="108" t="str">
        <f>VLOOKUP($A31,'REMISE DOSSARDS'!$A$2:$H$102,8,FALSE)</f>
        <v>UNION CYCLISTE VOIRONNAISE</v>
      </c>
      <c r="I31" s="109">
        <v>4</v>
      </c>
      <c r="J31" s="109">
        <v>6</v>
      </c>
      <c r="K31" s="111">
        <v>3</v>
      </c>
      <c r="L31" s="110">
        <f>SUM(I31:K31)</f>
        <v>13</v>
      </c>
    </row>
    <row r="32" spans="1:12" ht="23.25" customHeight="1" x14ac:dyDescent="0.3">
      <c r="A32" s="6">
        <v>24</v>
      </c>
      <c r="B32" s="107">
        <v>3</v>
      </c>
      <c r="C32" s="108" t="str">
        <f>VLOOKUP($A32,'REMISE DOSSARDS'!$A$2:$H$102,3,FALSE)</f>
        <v>DORCE-MICHEL</v>
      </c>
      <c r="D32" s="108" t="str">
        <f>VLOOKUP($A32,'REMISE DOSSARDS'!$A$2:$H$102,4,FALSE)</f>
        <v>STEVENSON</v>
      </c>
      <c r="E32" s="108" t="str">
        <f>VLOOKUP($A32,'REMISE DOSSARDS'!$A$2:$H$102,5,FALSE)</f>
        <v>H</v>
      </c>
      <c r="F32" s="108" t="str">
        <f>VLOOKUP($A32,'REMISE DOSSARDS'!$A$2:$H$102,6,FALSE)</f>
        <v>UFO</v>
      </c>
      <c r="G32" s="108" t="str">
        <f>VLOOKUP($A32,'REMISE DOSSARDS'!$A$2:$H$102,7,FALSE)</f>
        <v>Ufolep 3</v>
      </c>
      <c r="H32" s="108" t="str">
        <f>VLOOKUP($A32,'REMISE DOSSARDS'!$A$2:$H$102,8,FALSE)</f>
        <v>TEAM 3 MASSIFS</v>
      </c>
      <c r="I32" s="109">
        <v>2</v>
      </c>
      <c r="J32" s="109">
        <v>8</v>
      </c>
      <c r="K32" s="111">
        <v>4</v>
      </c>
      <c r="L32" s="110">
        <f>SUM(I32:K32)</f>
        <v>14</v>
      </c>
    </row>
    <row r="33" spans="1:12" ht="23.25" customHeight="1" x14ac:dyDescent="0.3">
      <c r="A33" s="6">
        <v>36</v>
      </c>
      <c r="B33" s="20">
        <v>4</v>
      </c>
      <c r="C33" s="7" t="str">
        <f>VLOOKUP($A33,'REMISE DOSSARDS'!$A$2:$H$102,3,FALSE)</f>
        <v>UHRY</v>
      </c>
      <c r="D33" s="7" t="str">
        <f>VLOOKUP($A33,'REMISE DOSSARDS'!$A$2:$H$102,4,FALSE)</f>
        <v>GILLES</v>
      </c>
      <c r="E33" s="7" t="str">
        <f>VLOOKUP($A33,'REMISE DOSSARDS'!$A$2:$H$102,5,FALSE)</f>
        <v>H</v>
      </c>
      <c r="F33" s="7" t="str">
        <f>VLOOKUP($A33,'REMISE DOSSARDS'!$A$2:$H$102,6,FALSE)</f>
        <v>UFO</v>
      </c>
      <c r="G33" s="7" t="str">
        <f>VLOOKUP($A33,'REMISE DOSSARDS'!$A$2:$H$102,7,FALSE)</f>
        <v>Ufolep 3</v>
      </c>
      <c r="H33" s="7" t="str">
        <f>VLOOKUP($A33,'REMISE DOSSARDS'!$A$2:$H$102,8,FALSE)</f>
        <v>TEAM 3 MASSIFS</v>
      </c>
      <c r="I33" s="8">
        <v>5</v>
      </c>
      <c r="J33" s="8">
        <v>11</v>
      </c>
      <c r="K33" s="21">
        <v>2</v>
      </c>
      <c r="L33" s="33">
        <f>SUM(I33:K33)</f>
        <v>18</v>
      </c>
    </row>
    <row r="34" spans="1:12" ht="23.25" customHeight="1" x14ac:dyDescent="0.3">
      <c r="A34" s="6">
        <v>20</v>
      </c>
      <c r="B34" s="20">
        <v>5</v>
      </c>
      <c r="C34" s="7" t="str">
        <f>VLOOKUP($A34,'REMISE DOSSARDS'!$A$2:$H$102,3,FALSE)</f>
        <v>BUCCI</v>
      </c>
      <c r="D34" s="7" t="str">
        <f>VLOOKUP($A34,'REMISE DOSSARDS'!$A$2:$H$102,4,FALSE)</f>
        <v>GREGORY</v>
      </c>
      <c r="E34" s="7" t="str">
        <f>VLOOKUP($A34,'REMISE DOSSARDS'!$A$2:$H$102,5,FALSE)</f>
        <v>H</v>
      </c>
      <c r="F34" s="7" t="str">
        <f>VLOOKUP($A34,'REMISE DOSSARDS'!$A$2:$H$102,6,FALSE)</f>
        <v>UFO</v>
      </c>
      <c r="G34" s="7" t="str">
        <f>VLOOKUP($A34,'REMISE DOSSARDS'!$A$2:$H$102,7,FALSE)</f>
        <v>Ufolep 3</v>
      </c>
      <c r="H34" s="7" t="str">
        <f>VLOOKUP($A34,'REMISE DOSSARDS'!$A$2:$H$102,8,FALSE)</f>
        <v>TEAM 3 MASSIFS</v>
      </c>
      <c r="I34" s="8">
        <v>3</v>
      </c>
      <c r="J34" s="8">
        <v>14</v>
      </c>
      <c r="K34" s="21">
        <v>8</v>
      </c>
      <c r="L34" s="33">
        <f>SUM(I34:K34)</f>
        <v>25</v>
      </c>
    </row>
    <row r="35" spans="1:12" ht="23.25" customHeight="1" x14ac:dyDescent="0.3">
      <c r="A35" s="6">
        <v>19</v>
      </c>
      <c r="B35" s="20">
        <v>6</v>
      </c>
      <c r="C35" s="7" t="str">
        <f>VLOOKUP($A35,'REMISE DOSSARDS'!$A$2:$H$102,3,FALSE)</f>
        <v>BONNEFILLE</v>
      </c>
      <c r="D35" s="7" t="str">
        <f>VLOOKUP($A35,'REMISE DOSSARDS'!$A$2:$H$102,4,FALSE)</f>
        <v>ROMAIN</v>
      </c>
      <c r="E35" s="7" t="str">
        <f>VLOOKUP($A35,'REMISE DOSSARDS'!$A$2:$H$102,5,FALSE)</f>
        <v>H</v>
      </c>
      <c r="F35" s="7" t="str">
        <f>VLOOKUP($A35,'REMISE DOSSARDS'!$A$2:$H$102,6,FALSE)</f>
        <v>UFO</v>
      </c>
      <c r="G35" s="7" t="str">
        <f>VLOOKUP($A35,'REMISE DOSSARDS'!$A$2:$H$102,7,FALSE)</f>
        <v>Ufolep 3</v>
      </c>
      <c r="H35" s="7" t="str">
        <f>VLOOKUP($A35,'REMISE DOSSARDS'!$A$2:$H$102,8,FALSE)</f>
        <v>TEAM 3 MASSIFS</v>
      </c>
      <c r="I35" s="8">
        <v>13</v>
      </c>
      <c r="J35" s="8">
        <v>5</v>
      </c>
      <c r="K35" s="21">
        <v>7</v>
      </c>
      <c r="L35" s="33">
        <f>SUM(I35:K35)</f>
        <v>25</v>
      </c>
    </row>
    <row r="36" spans="1:12" ht="23.25" customHeight="1" x14ac:dyDescent="0.3">
      <c r="A36" s="6">
        <v>38</v>
      </c>
      <c r="B36" s="20">
        <v>7</v>
      </c>
      <c r="C36" s="7" t="str">
        <f>VLOOKUP($A36,'REMISE DOSSARDS'!$A$2:$H$102,3,FALSE)</f>
        <v>CAPRON</v>
      </c>
      <c r="D36" s="7" t="str">
        <f>VLOOKUP($A36,'REMISE DOSSARDS'!$A$2:$H$102,4,FALSE)</f>
        <v>Alain</v>
      </c>
      <c r="E36" s="7" t="str">
        <f>VLOOKUP($A36,'REMISE DOSSARDS'!$A$2:$H$102,5,FALSE)</f>
        <v>H</v>
      </c>
      <c r="F36" s="7"/>
      <c r="G36" s="7" t="str">
        <f>VLOOKUP($A36,'REMISE DOSSARDS'!$A$2:$H$102,7,FALSE)</f>
        <v>Ufolep 3</v>
      </c>
      <c r="H36" s="7" t="str">
        <f>VLOOKUP($A36,'REMISE DOSSARDS'!$A$2:$H$102,8,FALSE)</f>
        <v>U.C. DE L'OISANS</v>
      </c>
      <c r="I36" s="8">
        <v>6</v>
      </c>
      <c r="J36" s="8">
        <v>16</v>
      </c>
      <c r="K36" s="21">
        <v>6</v>
      </c>
      <c r="L36" s="33">
        <f>SUM(I36:K36)</f>
        <v>28</v>
      </c>
    </row>
    <row r="37" spans="1:12" ht="23.25" customHeight="1" x14ac:dyDescent="0.3">
      <c r="A37" s="6">
        <v>32</v>
      </c>
      <c r="B37" s="20">
        <v>8</v>
      </c>
      <c r="C37" s="7" t="str">
        <f>VLOOKUP($A37,'REMISE DOSSARDS'!$A$2:$H$102,3,FALSE)</f>
        <v>RIVERO</v>
      </c>
      <c r="D37" s="7" t="str">
        <f>VLOOKUP($A37,'REMISE DOSSARDS'!$A$2:$H$102,4,FALSE)</f>
        <v>Mathieu</v>
      </c>
      <c r="E37" s="7" t="str">
        <f>VLOOKUP($A37,'REMISE DOSSARDS'!$A$2:$H$102,5,FALSE)</f>
        <v>H</v>
      </c>
      <c r="F37" s="7" t="str">
        <f>VLOOKUP($A37,'REMISE DOSSARDS'!$A$2:$H$102,6,FALSE)</f>
        <v>UFO</v>
      </c>
      <c r="G37" s="7" t="str">
        <f>VLOOKUP($A37,'REMISE DOSSARDS'!$A$2:$H$102,7,FALSE)</f>
        <v>Ufolep 3</v>
      </c>
      <c r="H37" s="7" t="str">
        <f>VLOOKUP($A37,'REMISE DOSSARDS'!$A$2:$H$102,8,FALSE)</f>
        <v>TEAM 3 MASSIFS</v>
      </c>
      <c r="I37" s="8">
        <v>15</v>
      </c>
      <c r="J37" s="8">
        <v>3</v>
      </c>
      <c r="K37" s="21">
        <v>10</v>
      </c>
      <c r="L37" s="33">
        <f>SUM(I37:K37)</f>
        <v>28</v>
      </c>
    </row>
    <row r="38" spans="1:12" ht="23.25" customHeight="1" x14ac:dyDescent="0.3">
      <c r="A38" s="6">
        <v>39</v>
      </c>
      <c r="B38" s="20">
        <v>9</v>
      </c>
      <c r="C38" s="7" t="str">
        <f>VLOOKUP($A38,'REMISE DOSSARDS'!$A$2:$H$102,3,FALSE)</f>
        <v>GIROD</v>
      </c>
      <c r="D38" s="7" t="str">
        <f>VLOOKUP($A38,'REMISE DOSSARDS'!$A$2:$H$102,4,FALSE)</f>
        <v>Florent</v>
      </c>
      <c r="E38" s="7" t="str">
        <f>VLOOKUP($A38,'REMISE DOSSARDS'!$A$2:$H$102,5,FALSE)</f>
        <v>H</v>
      </c>
      <c r="F38" s="7"/>
      <c r="G38" s="7" t="str">
        <f>VLOOKUP($A38,'REMISE DOSSARDS'!$A$2:$H$102,7,FALSE)</f>
        <v>Ufolep 3</v>
      </c>
      <c r="H38" s="7" t="str">
        <f>VLOOKUP($A38,'REMISE DOSSARDS'!$A$2:$H$102,8,FALSE)</f>
        <v>C2S</v>
      </c>
      <c r="I38" s="8">
        <v>10</v>
      </c>
      <c r="J38" s="8">
        <v>2</v>
      </c>
      <c r="K38" s="21">
        <v>17</v>
      </c>
      <c r="L38" s="33">
        <f>SUM(I38:K38)</f>
        <v>29</v>
      </c>
    </row>
    <row r="39" spans="1:12" ht="23.25" customHeight="1" x14ac:dyDescent="0.3">
      <c r="A39" s="6">
        <v>25</v>
      </c>
      <c r="B39" s="20">
        <v>10</v>
      </c>
      <c r="C39" s="7" t="str">
        <f>VLOOKUP($A39,'REMISE DOSSARDS'!$A$2:$H$102,3,FALSE)</f>
        <v>GENET</v>
      </c>
      <c r="D39" s="7" t="str">
        <f>VLOOKUP($A39,'REMISE DOSSARDS'!$A$2:$H$102,4,FALSE)</f>
        <v>Sebastien</v>
      </c>
      <c r="E39" s="7" t="str">
        <f>VLOOKUP($A39,'REMISE DOSSARDS'!$A$2:$H$102,5,FALSE)</f>
        <v>H</v>
      </c>
      <c r="F39" s="7" t="str">
        <f>VLOOKUP($A39,'REMISE DOSSARDS'!$A$2:$H$102,6,FALSE)</f>
        <v>UFO</v>
      </c>
      <c r="G39" s="7" t="str">
        <f>VLOOKUP($A39,'REMISE DOSSARDS'!$A$2:$H$102,7,FALSE)</f>
        <v>Ufolep 3</v>
      </c>
      <c r="H39" s="7" t="str">
        <f>VLOOKUP($A39,'REMISE DOSSARDS'!$A$2:$H$102,8,FALSE)</f>
        <v>LE FONTANIL CYCLISME</v>
      </c>
      <c r="I39" s="8">
        <v>7</v>
      </c>
      <c r="J39" s="8">
        <v>9</v>
      </c>
      <c r="K39" s="21">
        <v>14</v>
      </c>
      <c r="L39" s="33">
        <f>SUM(I39:K39)</f>
        <v>30</v>
      </c>
    </row>
    <row r="40" spans="1:12" ht="23.25" customHeight="1" x14ac:dyDescent="0.3">
      <c r="A40" s="6">
        <v>34</v>
      </c>
      <c r="B40" s="20">
        <v>11</v>
      </c>
      <c r="C40" s="7" t="str">
        <f>VLOOKUP($A40,'REMISE DOSSARDS'!$A$2:$H$102,3,FALSE)</f>
        <v>SEITE</v>
      </c>
      <c r="D40" s="7" t="str">
        <f>VLOOKUP($A40,'REMISE DOSSARDS'!$A$2:$H$102,4,FALSE)</f>
        <v>ALAIN</v>
      </c>
      <c r="E40" s="7" t="str">
        <f>VLOOKUP($A40,'REMISE DOSSARDS'!$A$2:$H$102,5,FALSE)</f>
        <v>H</v>
      </c>
      <c r="F40" s="7" t="str">
        <f>VLOOKUP($A40,'REMISE DOSSARDS'!$A$2:$H$102,6,FALSE)</f>
        <v>UFO</v>
      </c>
      <c r="G40" s="7" t="str">
        <f>VLOOKUP($A40,'REMISE DOSSARDS'!$A$2:$H$102,7,FALSE)</f>
        <v>Ufolep 3</v>
      </c>
      <c r="H40" s="7" t="str">
        <f>VLOOKUP($A40,'REMISE DOSSARDS'!$A$2:$H$102,8,FALSE)</f>
        <v>TEAM 3 MASSIFS</v>
      </c>
      <c r="I40" s="8">
        <v>18</v>
      </c>
      <c r="J40" s="8">
        <v>4</v>
      </c>
      <c r="K40" s="21">
        <v>9</v>
      </c>
      <c r="L40" s="33">
        <f>SUM(I40:K40)</f>
        <v>31</v>
      </c>
    </row>
    <row r="41" spans="1:12" ht="23.25" customHeight="1" x14ac:dyDescent="0.3">
      <c r="A41" s="6">
        <v>30</v>
      </c>
      <c r="B41" s="20">
        <v>12</v>
      </c>
      <c r="C41" s="7" t="str">
        <f>VLOOKUP($A41,'REMISE DOSSARDS'!$A$2:$H$102,3,FALSE)</f>
        <v>PATRICELLI</v>
      </c>
      <c r="D41" s="7" t="str">
        <f>VLOOKUP($A41,'REMISE DOSSARDS'!$A$2:$H$102,4,FALSE)</f>
        <v>GILLES</v>
      </c>
      <c r="E41" s="7" t="str">
        <f>VLOOKUP($A41,'REMISE DOSSARDS'!$A$2:$H$102,5,FALSE)</f>
        <v>H</v>
      </c>
      <c r="F41" s="7" t="str">
        <f>VLOOKUP($A41,'REMISE DOSSARDS'!$A$2:$H$102,6,FALSE)</f>
        <v>UFO</v>
      </c>
      <c r="G41" s="7" t="str">
        <f>VLOOKUP($A41,'REMISE DOSSARDS'!$A$2:$H$102,7,FALSE)</f>
        <v>Ufolep 3</v>
      </c>
      <c r="H41" s="7" t="str">
        <f>VLOOKUP($A41,'REMISE DOSSARDS'!$A$2:$H$102,8,FALSE)</f>
        <v>LE FONTANIL CYCLISME</v>
      </c>
      <c r="I41" s="8">
        <v>9</v>
      </c>
      <c r="J41" s="8">
        <v>12</v>
      </c>
      <c r="K41" s="21">
        <v>19</v>
      </c>
      <c r="L41" s="33">
        <f>SUM(I41:K41)</f>
        <v>40</v>
      </c>
    </row>
    <row r="42" spans="1:12" ht="23.25" customHeight="1" x14ac:dyDescent="0.3">
      <c r="A42" s="6">
        <v>28</v>
      </c>
      <c r="B42" s="20">
        <v>13</v>
      </c>
      <c r="C42" s="7" t="str">
        <f>VLOOKUP($A42,'REMISE DOSSARDS'!$A$2:$H$102,3,FALSE)</f>
        <v>HAGE</v>
      </c>
      <c r="D42" s="7" t="str">
        <f>VLOOKUP($A42,'REMISE DOSSARDS'!$A$2:$H$102,4,FALSE)</f>
        <v>BENOIT</v>
      </c>
      <c r="E42" s="7" t="str">
        <f>VLOOKUP($A42,'REMISE DOSSARDS'!$A$2:$H$102,5,FALSE)</f>
        <v>H</v>
      </c>
      <c r="F42" s="7" t="str">
        <f>VLOOKUP($A42,'REMISE DOSSARDS'!$A$2:$H$102,6,FALSE)</f>
        <v>UFO</v>
      </c>
      <c r="G42" s="7" t="str">
        <f>VLOOKUP($A42,'REMISE DOSSARDS'!$A$2:$H$102,7,FALSE)</f>
        <v>Ufolep 3</v>
      </c>
      <c r="H42" s="7" t="str">
        <f>VLOOKUP($A42,'REMISE DOSSARDS'!$A$2:$H$102,8,FALSE)</f>
        <v>UNION CYCLISTE VOIRONNAISE</v>
      </c>
      <c r="I42" s="8">
        <v>8</v>
      </c>
      <c r="J42" s="8">
        <v>15</v>
      </c>
      <c r="K42" s="21">
        <v>18</v>
      </c>
      <c r="L42" s="33">
        <f>SUM(I42:K42)</f>
        <v>41</v>
      </c>
    </row>
    <row r="43" spans="1:12" ht="23.25" customHeight="1" x14ac:dyDescent="0.3">
      <c r="A43" s="6">
        <v>23</v>
      </c>
      <c r="B43" s="20">
        <v>14</v>
      </c>
      <c r="C43" s="7" t="str">
        <f>VLOOKUP($A43,'REMISE DOSSARDS'!$A$2:$H$102,3,FALSE)</f>
        <v>DEBUCK</v>
      </c>
      <c r="D43" s="7" t="str">
        <f>VLOOKUP($A43,'REMISE DOSSARDS'!$A$2:$H$102,4,FALSE)</f>
        <v>LAURENT</v>
      </c>
      <c r="E43" s="7" t="str">
        <f>VLOOKUP($A43,'REMISE DOSSARDS'!$A$2:$H$102,5,FALSE)</f>
        <v>H</v>
      </c>
      <c r="F43" s="7" t="str">
        <f>VLOOKUP($A43,'REMISE DOSSARDS'!$A$2:$H$102,6,FALSE)</f>
        <v>UFO</v>
      </c>
      <c r="G43" s="7" t="str">
        <f>VLOOKUP($A43,'REMISE DOSSARDS'!$A$2:$H$102,7,FALSE)</f>
        <v>Ufolep 3</v>
      </c>
      <c r="H43" s="7" t="str">
        <f>VLOOKUP($A43,'REMISE DOSSARDS'!$A$2:$H$102,8,FALSE)</f>
        <v>UNION CYCLISTE DE PONTCHARRA GRESIVAUDAN</v>
      </c>
      <c r="I43" s="8">
        <v>21</v>
      </c>
      <c r="J43" s="8">
        <v>7</v>
      </c>
      <c r="K43" s="21">
        <v>15</v>
      </c>
      <c r="L43" s="33">
        <f>SUM(I43:K43)</f>
        <v>43</v>
      </c>
    </row>
    <row r="44" spans="1:12" ht="23.25" customHeight="1" x14ac:dyDescent="0.3">
      <c r="A44" s="6">
        <v>22</v>
      </c>
      <c r="B44" s="20">
        <v>15</v>
      </c>
      <c r="C44" s="7" t="str">
        <f>VLOOKUP($A44,'REMISE DOSSARDS'!$A$2:$H$102,3,FALSE)</f>
        <v>CARTIER</v>
      </c>
      <c r="D44" s="7" t="str">
        <f>VLOOKUP($A44,'REMISE DOSSARDS'!$A$2:$H$102,4,FALSE)</f>
        <v>STEPHANE</v>
      </c>
      <c r="E44" s="7" t="str">
        <f>VLOOKUP($A44,'REMISE DOSSARDS'!$A$2:$H$102,5,FALSE)</f>
        <v>H</v>
      </c>
      <c r="F44" s="7" t="str">
        <f>VLOOKUP($A44,'REMISE DOSSARDS'!$A$2:$H$102,6,FALSE)</f>
        <v>UFO</v>
      </c>
      <c r="G44" s="7" t="str">
        <f>VLOOKUP($A44,'REMISE DOSSARDS'!$A$2:$H$102,7,FALSE)</f>
        <v>Ufolep 3</v>
      </c>
      <c r="H44" s="7" t="str">
        <f>VLOOKUP($A44,'REMISE DOSSARDS'!$A$2:$H$102,8,FALSE)</f>
        <v>JARRIE CHAMP SUR DRAC CYCLISME</v>
      </c>
      <c r="I44" s="8">
        <v>14</v>
      </c>
      <c r="J44" s="8">
        <v>20</v>
      </c>
      <c r="K44" s="21">
        <v>11</v>
      </c>
      <c r="L44" s="33">
        <f>SUM(I44:K44)</f>
        <v>45</v>
      </c>
    </row>
    <row r="45" spans="1:12" ht="23.25" customHeight="1" x14ac:dyDescent="0.3">
      <c r="A45" s="6">
        <v>35</v>
      </c>
      <c r="B45" s="20">
        <v>16</v>
      </c>
      <c r="C45" s="7" t="str">
        <f>VLOOKUP($A45,'REMISE DOSSARDS'!$A$2:$H$102,3,FALSE)</f>
        <v>SEVOZ</v>
      </c>
      <c r="D45" s="7" t="str">
        <f>VLOOKUP($A45,'REMISE DOSSARDS'!$A$2:$H$102,4,FALSE)</f>
        <v>ARNAUD</v>
      </c>
      <c r="E45" s="7" t="str">
        <f>VLOOKUP($A45,'REMISE DOSSARDS'!$A$2:$H$102,5,FALSE)</f>
        <v>H</v>
      </c>
      <c r="F45" s="7" t="str">
        <f>VLOOKUP($A45,'REMISE DOSSARDS'!$A$2:$H$102,6,FALSE)</f>
        <v>UFO</v>
      </c>
      <c r="G45" s="7" t="str">
        <f>VLOOKUP($A45,'REMISE DOSSARDS'!$A$2:$H$102,7,FALSE)</f>
        <v>Ufolep 3</v>
      </c>
      <c r="H45" s="7" t="str">
        <f>VLOOKUP($A45,'REMISE DOSSARDS'!$A$2:$H$102,8,FALSE)</f>
        <v>UNION CYCLISTE VOIRONNAISE</v>
      </c>
      <c r="I45" s="8">
        <v>19</v>
      </c>
      <c r="J45" s="8">
        <v>22</v>
      </c>
      <c r="K45" s="21">
        <v>5</v>
      </c>
      <c r="L45" s="33">
        <f>SUM(I45:K45)</f>
        <v>46</v>
      </c>
    </row>
    <row r="46" spans="1:12" ht="23.25" customHeight="1" x14ac:dyDescent="0.3">
      <c r="A46" s="6">
        <v>27</v>
      </c>
      <c r="B46" s="20">
        <v>17</v>
      </c>
      <c r="C46" s="7" t="str">
        <f>VLOOKUP($A46,'REMISE DOSSARDS'!$A$2:$H$102,3,FALSE)</f>
        <v>GIANNONE</v>
      </c>
      <c r="D46" s="7" t="str">
        <f>VLOOKUP($A46,'REMISE DOSSARDS'!$A$2:$H$102,4,FALSE)</f>
        <v>JOSEPH</v>
      </c>
      <c r="E46" s="7" t="str">
        <f>VLOOKUP($A46,'REMISE DOSSARDS'!$A$2:$H$102,5,FALSE)</f>
        <v>H</v>
      </c>
      <c r="F46" s="7" t="str">
        <f>VLOOKUP($A46,'REMISE DOSSARDS'!$A$2:$H$102,6,FALSE)</f>
        <v>UFO</v>
      </c>
      <c r="G46" s="7" t="str">
        <f>VLOOKUP($A46,'REMISE DOSSARDS'!$A$2:$H$102,7,FALSE)</f>
        <v>Ufolep 3</v>
      </c>
      <c r="H46" s="7" t="str">
        <f>VLOOKUP($A46,'REMISE DOSSARDS'!$A$2:$H$102,8,FALSE)</f>
        <v>UNION CYCLISTE VOIRONNAISE</v>
      </c>
      <c r="I46" s="8">
        <v>22</v>
      </c>
      <c r="J46" s="8">
        <v>13</v>
      </c>
      <c r="K46" s="21">
        <v>12</v>
      </c>
      <c r="L46" s="33">
        <f>SUM(I46:K46)</f>
        <v>47</v>
      </c>
    </row>
    <row r="47" spans="1:12" ht="23.25" customHeight="1" x14ac:dyDescent="0.3">
      <c r="A47" s="6">
        <v>21</v>
      </c>
      <c r="B47" s="20">
        <v>18</v>
      </c>
      <c r="C47" s="7" t="str">
        <f>VLOOKUP($A47,'REMISE DOSSARDS'!$A$2:$H$102,3,FALSE)</f>
        <v>CANDEIAS</v>
      </c>
      <c r="D47" s="7" t="str">
        <f>VLOOKUP($A47,'REMISE DOSSARDS'!$A$2:$H$102,4,FALSE)</f>
        <v>DAMIEN</v>
      </c>
      <c r="E47" s="7" t="str">
        <f>VLOOKUP($A47,'REMISE DOSSARDS'!$A$2:$H$102,5,FALSE)</f>
        <v>H</v>
      </c>
      <c r="F47" s="7" t="str">
        <f>VLOOKUP($A47,'REMISE DOSSARDS'!$A$2:$H$102,6,FALSE)</f>
        <v>UFO</v>
      </c>
      <c r="G47" s="7" t="str">
        <f>VLOOKUP($A47,'REMISE DOSSARDS'!$A$2:$H$102,7,FALSE)</f>
        <v>Ufolep 3</v>
      </c>
      <c r="H47" s="7" t="str">
        <f>VLOOKUP($A47,'REMISE DOSSARDS'!$A$2:$H$102,8,FALSE)</f>
        <v>JARRIE CHAMP SUR DRAC CYCLISME</v>
      </c>
      <c r="I47" s="8">
        <v>17</v>
      </c>
      <c r="J47" s="8">
        <v>18</v>
      </c>
      <c r="K47" s="21">
        <v>13</v>
      </c>
      <c r="L47" s="33">
        <f>SUM(I47:K47)</f>
        <v>48</v>
      </c>
    </row>
    <row r="48" spans="1:12" ht="23.25" customHeight="1" x14ac:dyDescent="0.3">
      <c r="A48" s="6">
        <v>18</v>
      </c>
      <c r="B48" s="20">
        <v>19</v>
      </c>
      <c r="C48" s="7" t="str">
        <f>VLOOKUP($A48,'REMISE DOSSARDS'!$A$2:$H$102,3,FALSE)</f>
        <v>BESCOND</v>
      </c>
      <c r="D48" s="7" t="str">
        <f>VLOOKUP($A48,'REMISE DOSSARDS'!$A$2:$H$102,4,FALSE)</f>
        <v>DIDIER</v>
      </c>
      <c r="E48" s="7" t="str">
        <f>VLOOKUP($A48,'REMISE DOSSARDS'!$A$2:$H$102,5,FALSE)</f>
        <v>H</v>
      </c>
      <c r="F48" s="7" t="str">
        <f>VLOOKUP($A48,'REMISE DOSSARDS'!$A$2:$H$102,6,FALSE)</f>
        <v>UFO</v>
      </c>
      <c r="G48" s="7" t="str">
        <f>VLOOKUP($A48,'REMISE DOSSARDS'!$A$2:$H$102,7,FALSE)</f>
        <v>Ufolep 3</v>
      </c>
      <c r="H48" s="7" t="str">
        <f>VLOOKUP($A48,'REMISE DOSSARDS'!$A$2:$H$102,8,FALSE)</f>
        <v>JARRIE CHAMP SUR DRAC CYCLISME</v>
      </c>
      <c r="I48" s="8">
        <v>12</v>
      </c>
      <c r="J48" s="8">
        <v>21</v>
      </c>
      <c r="K48" s="21">
        <v>16</v>
      </c>
      <c r="L48" s="33">
        <f>SUM(I48:K48)</f>
        <v>49</v>
      </c>
    </row>
    <row r="49" spans="1:12" ht="23.25" customHeight="1" x14ac:dyDescent="0.3">
      <c r="A49" s="6">
        <v>31</v>
      </c>
      <c r="B49" s="20">
        <v>20</v>
      </c>
      <c r="C49" s="7" t="str">
        <f>VLOOKUP($A49,'REMISE DOSSARDS'!$A$2:$H$102,3,FALSE)</f>
        <v>RAMBAUD</v>
      </c>
      <c r="D49" s="7" t="str">
        <f>VLOOKUP($A49,'REMISE DOSSARDS'!$A$2:$H$102,4,FALSE)</f>
        <v>JULIEN</v>
      </c>
      <c r="E49" s="7" t="str">
        <f>VLOOKUP($A49,'REMISE DOSSARDS'!$A$2:$H$102,5,FALSE)</f>
        <v>H</v>
      </c>
      <c r="F49" s="7" t="str">
        <f>VLOOKUP($A49,'REMISE DOSSARDS'!$A$2:$H$102,6,FALSE)</f>
        <v>UFO</v>
      </c>
      <c r="G49" s="7" t="str">
        <f>VLOOKUP($A49,'REMISE DOSSARDS'!$A$2:$H$102,7,FALSE)</f>
        <v>Ufolep 3</v>
      </c>
      <c r="H49" s="7" t="str">
        <f>VLOOKUP($A49,'REMISE DOSSARDS'!$A$2:$H$102,8,FALSE)</f>
        <v>TEAM 3 MASSIFS</v>
      </c>
      <c r="I49" s="8">
        <v>11</v>
      </c>
      <c r="J49" s="8">
        <v>19</v>
      </c>
      <c r="K49" s="21">
        <v>20</v>
      </c>
      <c r="L49" s="33">
        <f>SUM(I49:K49)</f>
        <v>50</v>
      </c>
    </row>
    <row r="50" spans="1:12" ht="23.25" customHeight="1" x14ac:dyDescent="0.3">
      <c r="A50" s="6">
        <v>33</v>
      </c>
      <c r="B50" s="20">
        <v>21</v>
      </c>
      <c r="C50" s="7" t="str">
        <f>VLOOKUP($A50,'REMISE DOSSARDS'!$A$2:$H$102,3,FALSE)</f>
        <v>SCISCIOLI</v>
      </c>
      <c r="D50" s="7" t="str">
        <f>VLOOKUP($A50,'REMISE DOSSARDS'!$A$2:$H$102,4,FALSE)</f>
        <v>LEONARD</v>
      </c>
      <c r="E50" s="7" t="str">
        <f>VLOOKUP($A50,'REMISE DOSSARDS'!$A$2:$H$102,5,FALSE)</f>
        <v>H</v>
      </c>
      <c r="F50" s="7" t="str">
        <f>VLOOKUP($A50,'REMISE DOSSARDS'!$A$2:$H$102,6,FALSE)</f>
        <v>UFO</v>
      </c>
      <c r="G50" s="7" t="str">
        <f>VLOOKUP($A50,'REMISE DOSSARDS'!$A$2:$H$102,7,FALSE)</f>
        <v>Ufolep 3</v>
      </c>
      <c r="H50" s="7" t="str">
        <f>VLOOKUP($A50,'REMISE DOSSARDS'!$A$2:$H$102,8,FALSE)</f>
        <v>SUD GRESIVAUDAN CYCLISME</v>
      </c>
      <c r="I50" s="8">
        <v>16</v>
      </c>
      <c r="J50" s="8">
        <v>17</v>
      </c>
      <c r="K50" s="21">
        <v>21</v>
      </c>
      <c r="L50" s="33">
        <f>SUM(I50:K50)</f>
        <v>54</v>
      </c>
    </row>
    <row r="51" spans="1:12" ht="23.25" customHeight="1" x14ac:dyDescent="0.3">
      <c r="A51" s="6">
        <v>37</v>
      </c>
      <c r="B51" s="20" t="s">
        <v>161</v>
      </c>
      <c r="C51" s="7" t="str">
        <f>VLOOKUP($A51,'REMISE DOSSARDS'!$A$2:$H$102,3,FALSE)</f>
        <v>VIAL</v>
      </c>
      <c r="D51" s="7" t="str">
        <f>VLOOKUP($A51,'REMISE DOSSARDS'!$A$2:$H$102,4,FALSE)</f>
        <v>WILLY</v>
      </c>
      <c r="E51" s="7" t="str">
        <f>VLOOKUP($A51,'REMISE DOSSARDS'!$A$2:$H$102,5,FALSE)</f>
        <v>H</v>
      </c>
      <c r="F51" s="7" t="str">
        <f>VLOOKUP($A51,'REMISE DOSSARDS'!$A$2:$H$102,6,FALSE)</f>
        <v>UFO</v>
      </c>
      <c r="G51" s="7" t="str">
        <f>VLOOKUP($A51,'REMISE DOSSARDS'!$A$2:$H$102,7,FALSE)</f>
        <v>Ufolep 3</v>
      </c>
      <c r="H51" s="7" t="str">
        <f>VLOOKUP($A51,'REMISE DOSSARDS'!$A$2:$H$102,8,FALSE)</f>
        <v>LE FONTANIL CYCLISME</v>
      </c>
      <c r="I51" s="8">
        <v>20</v>
      </c>
      <c r="J51" s="8">
        <v>10</v>
      </c>
      <c r="K51" s="21" t="s">
        <v>31</v>
      </c>
      <c r="L51" s="33" t="s">
        <v>32</v>
      </c>
    </row>
    <row r="52" spans="1:12" ht="24.6" x14ac:dyDescent="0.3">
      <c r="A52" s="25"/>
      <c r="B52" s="26"/>
      <c r="C52" s="27"/>
      <c r="D52" s="27"/>
      <c r="E52" s="12"/>
      <c r="F52" s="12"/>
      <c r="G52" s="14"/>
      <c r="H52" s="28"/>
      <c r="I52" s="29"/>
      <c r="J52" s="30"/>
      <c r="K52" s="12"/>
      <c r="L52" s="32"/>
    </row>
    <row r="53" spans="1:12" ht="51.75" customHeight="1" x14ac:dyDescent="0.3">
      <c r="A53" s="103" t="s">
        <v>22</v>
      </c>
      <c r="B53" s="104"/>
      <c r="C53" s="1">
        <v>4</v>
      </c>
      <c r="D53" s="22"/>
      <c r="E53" s="105" t="s">
        <v>160</v>
      </c>
      <c r="F53" s="105"/>
      <c r="G53" s="9"/>
      <c r="H53" s="22"/>
      <c r="I53" s="22"/>
      <c r="J53" s="11" t="s">
        <v>23</v>
      </c>
      <c r="K53" s="23">
        <f>COUNTA(A55:A60)</f>
        <v>4</v>
      </c>
      <c r="L53" s="24"/>
    </row>
    <row r="54" spans="1:12" ht="26.4" x14ac:dyDescent="0.3">
      <c r="A54" s="2" t="s">
        <v>0</v>
      </c>
      <c r="B54" s="3" t="s">
        <v>21</v>
      </c>
      <c r="C54" s="4" t="s">
        <v>1</v>
      </c>
      <c r="D54" s="5" t="s">
        <v>2</v>
      </c>
      <c r="E54" s="4" t="s">
        <v>3</v>
      </c>
      <c r="F54" s="4" t="s">
        <v>6</v>
      </c>
      <c r="G54" s="5" t="s">
        <v>5</v>
      </c>
      <c r="H54" s="5" t="s">
        <v>4</v>
      </c>
      <c r="I54" s="3" t="s">
        <v>24</v>
      </c>
      <c r="J54" s="3" t="s">
        <v>25</v>
      </c>
      <c r="K54" s="4" t="s">
        <v>26</v>
      </c>
      <c r="L54" s="4" t="s">
        <v>27</v>
      </c>
    </row>
    <row r="55" spans="1:12" ht="24.6" x14ac:dyDescent="0.3">
      <c r="A55" s="6">
        <v>40</v>
      </c>
      <c r="B55" s="107">
        <v>1</v>
      </c>
      <c r="C55" s="108" t="str">
        <f>VLOOKUP($A55,'REMISE DOSSARDS'!$A$2:$H$102,3,FALSE)</f>
        <v>ALESSANDRI</v>
      </c>
      <c r="D55" s="108" t="str">
        <f>VLOOKUP($A55,'REMISE DOSSARDS'!$A$2:$H$102,4,FALSE)</f>
        <v>DAMIEN</v>
      </c>
      <c r="E55" s="108" t="str">
        <f>VLOOKUP($A55,'REMISE DOSSARDS'!$A$2:$H$102,5,FALSE)</f>
        <v>H</v>
      </c>
      <c r="F55" s="108" t="str">
        <f>VLOOKUP($A55,'REMISE DOSSARDS'!$A$2:$H$102,6,FALSE)</f>
        <v>UFO</v>
      </c>
      <c r="G55" s="108" t="str">
        <f>VLOOKUP($A55,'REMISE DOSSARDS'!$A$2:$H$102,7,FALSE)</f>
        <v>Ufolep 4</v>
      </c>
      <c r="H55" s="108" t="str">
        <f>VLOOKUP($A55,'REMISE DOSSARDS'!$A$2:$H$102,8,FALSE)</f>
        <v>TEAM 3 MASSIFS</v>
      </c>
      <c r="I55" s="109">
        <v>2</v>
      </c>
      <c r="J55" s="109">
        <v>1</v>
      </c>
      <c r="K55" s="111">
        <v>1</v>
      </c>
      <c r="L55" s="110">
        <f>SUM(I55:K55)</f>
        <v>4</v>
      </c>
    </row>
    <row r="56" spans="1:12" ht="24.6" x14ac:dyDescent="0.3">
      <c r="A56" s="6">
        <v>42</v>
      </c>
      <c r="B56" s="107">
        <v>2</v>
      </c>
      <c r="C56" s="108" t="str">
        <f>VLOOKUP($A56,'REMISE DOSSARDS'!$A$2:$H$102,3,FALSE)</f>
        <v>SORDET</v>
      </c>
      <c r="D56" s="108" t="str">
        <f>VLOOKUP($A56,'REMISE DOSSARDS'!$A$2:$H$102,4,FALSE)</f>
        <v>FABIEN</v>
      </c>
      <c r="E56" s="108" t="str">
        <f>VLOOKUP($A56,'REMISE DOSSARDS'!$A$2:$H$102,5,FALSE)</f>
        <v>H</v>
      </c>
      <c r="F56" s="108" t="str">
        <f>VLOOKUP($A56,'REMISE DOSSARDS'!$A$2:$H$102,6,FALSE)</f>
        <v>UFO</v>
      </c>
      <c r="G56" s="108" t="str">
        <f>VLOOKUP($A56,'REMISE DOSSARDS'!$A$2:$H$102,7,FALSE)</f>
        <v>Ufolep 4</v>
      </c>
      <c r="H56" s="108" t="str">
        <f>VLOOKUP($A56,'REMISE DOSSARDS'!$A$2:$H$102,8,FALSE)</f>
        <v>UNION CYCLISTE VOIRONNAISE</v>
      </c>
      <c r="I56" s="109">
        <v>1</v>
      </c>
      <c r="J56" s="109">
        <v>2</v>
      </c>
      <c r="K56" s="111">
        <v>2</v>
      </c>
      <c r="L56" s="110">
        <f>SUM(I56:K56)</f>
        <v>5</v>
      </c>
    </row>
    <row r="57" spans="1:12" ht="24.6" x14ac:dyDescent="0.3">
      <c r="A57" s="6">
        <v>43</v>
      </c>
      <c r="B57" s="107">
        <v>3</v>
      </c>
      <c r="C57" s="108" t="str">
        <f>VLOOKUP($A57,'REMISE DOSSARDS'!$A$2:$H$102,3,FALSE)</f>
        <v xml:space="preserve">HURSON </v>
      </c>
      <c r="D57" s="108" t="str">
        <f>VLOOKUP($A57,'REMISE DOSSARDS'!$A$2:$H$102,4,FALSE)</f>
        <v>Nicolas</v>
      </c>
      <c r="E57" s="108" t="str">
        <f>VLOOKUP($A57,'REMISE DOSSARDS'!$A$2:$H$102,5,FALSE)</f>
        <v>H</v>
      </c>
      <c r="F57" s="108" t="str">
        <f>VLOOKUP($A57,'REMISE DOSSARDS'!$A$2:$H$102,6,FALSE)</f>
        <v>UFO</v>
      </c>
      <c r="G57" s="108" t="str">
        <f>VLOOKUP($A57,'REMISE DOSSARDS'!$A$2:$H$102,7,FALSE)</f>
        <v>Ufolep 4</v>
      </c>
      <c r="H57" s="108" t="str">
        <f>VLOOKUP($A57,'REMISE DOSSARDS'!$A$2:$H$102,8,FALSE)</f>
        <v>TEAM 3 MASSIFS</v>
      </c>
      <c r="I57" s="109">
        <v>3</v>
      </c>
      <c r="J57" s="109">
        <v>3</v>
      </c>
      <c r="K57" s="111">
        <v>3</v>
      </c>
      <c r="L57" s="110">
        <f>SUM(I57:K57)</f>
        <v>9</v>
      </c>
    </row>
    <row r="58" spans="1:12" ht="24.6" x14ac:dyDescent="0.3">
      <c r="A58" s="6">
        <v>41</v>
      </c>
      <c r="B58" s="20" t="s">
        <v>161</v>
      </c>
      <c r="C58" s="7" t="str">
        <f>VLOOKUP($A58,'REMISE DOSSARDS'!$A$2:$H$102,3,FALSE)</f>
        <v>CARRE</v>
      </c>
      <c r="D58" s="7" t="str">
        <f>VLOOKUP($A58,'REMISE DOSSARDS'!$A$2:$H$102,4,FALSE)</f>
        <v>HERVE</v>
      </c>
      <c r="E58" s="7" t="str">
        <f>VLOOKUP($A58,'REMISE DOSSARDS'!$A$2:$H$102,5,FALSE)</f>
        <v>H</v>
      </c>
      <c r="F58" s="7" t="str">
        <f>VLOOKUP($A58,'REMISE DOSSARDS'!$A$2:$H$102,6,FALSE)</f>
        <v>UFO</v>
      </c>
      <c r="G58" s="7" t="str">
        <f>VLOOKUP($A58,'REMISE DOSSARDS'!$A$2:$H$102,7,FALSE)</f>
        <v>Ufolep 4</v>
      </c>
      <c r="H58" s="7" t="str">
        <f>VLOOKUP($A58,'REMISE DOSSARDS'!$A$2:$H$102,8,FALSE)</f>
        <v>TEAM 3 MASSIFS</v>
      </c>
      <c r="I58" s="8">
        <v>4</v>
      </c>
      <c r="J58" s="8">
        <v>4</v>
      </c>
      <c r="K58" s="21" t="s">
        <v>32</v>
      </c>
      <c r="L58" s="33" t="s">
        <v>32</v>
      </c>
    </row>
    <row r="59" spans="1:12" ht="24.6" x14ac:dyDescent="0.3">
      <c r="A59" s="6"/>
      <c r="B59" s="20"/>
      <c r="C59" s="7"/>
      <c r="D59" s="7"/>
      <c r="E59" s="8"/>
      <c r="F59" s="8"/>
      <c r="G59" s="10"/>
      <c r="H59" s="13"/>
      <c r="I59" s="8"/>
      <c r="J59" s="8"/>
      <c r="K59" s="21"/>
      <c r="L59" s="33"/>
    </row>
    <row r="60" spans="1:12" ht="24.6" x14ac:dyDescent="0.3">
      <c r="A60" s="25"/>
      <c r="B60" s="26"/>
      <c r="C60" s="27"/>
      <c r="D60" s="27"/>
      <c r="E60" s="12"/>
      <c r="F60" s="12"/>
      <c r="G60" s="14"/>
      <c r="H60" s="28"/>
      <c r="I60" s="29"/>
      <c r="J60" s="30"/>
      <c r="K60" s="12"/>
      <c r="L60" s="32"/>
    </row>
    <row r="61" spans="1:12" ht="51.75" customHeight="1" x14ac:dyDescent="0.3">
      <c r="A61" s="103" t="s">
        <v>22</v>
      </c>
      <c r="B61" s="104"/>
      <c r="C61" s="1" t="s">
        <v>10</v>
      </c>
      <c r="D61" s="22"/>
      <c r="E61" s="105" t="s">
        <v>160</v>
      </c>
      <c r="F61" s="105"/>
      <c r="G61" s="9"/>
      <c r="H61" s="22"/>
      <c r="I61" s="22"/>
      <c r="J61" s="11" t="s">
        <v>23</v>
      </c>
      <c r="K61" s="23">
        <f>COUNTA(A63:A69)</f>
        <v>7</v>
      </c>
      <c r="L61" s="24"/>
    </row>
    <row r="62" spans="1:12" ht="26.4" x14ac:dyDescent="0.3">
      <c r="A62" s="2" t="s">
        <v>0</v>
      </c>
      <c r="B62" s="3" t="s">
        <v>21</v>
      </c>
      <c r="C62" s="4" t="s">
        <v>1</v>
      </c>
      <c r="D62" s="5" t="s">
        <v>2</v>
      </c>
      <c r="E62" s="4" t="s">
        <v>3</v>
      </c>
      <c r="F62" s="4" t="s">
        <v>6</v>
      </c>
      <c r="G62" s="5" t="s">
        <v>5</v>
      </c>
      <c r="H62" s="5" t="s">
        <v>4</v>
      </c>
      <c r="I62" s="3" t="s">
        <v>24</v>
      </c>
      <c r="J62" s="3" t="s">
        <v>25</v>
      </c>
      <c r="K62" s="4" t="s">
        <v>26</v>
      </c>
      <c r="L62" s="4" t="s">
        <v>27</v>
      </c>
    </row>
    <row r="63" spans="1:12" ht="24.6" x14ac:dyDescent="0.3">
      <c r="A63" s="6">
        <v>51</v>
      </c>
      <c r="B63" s="107">
        <v>1</v>
      </c>
      <c r="C63" s="108" t="str">
        <f>VLOOKUP($A63,'REMISE DOSSARDS'!$A$2:$H$102,3,FALSE)</f>
        <v>REBOUL</v>
      </c>
      <c r="D63" s="108" t="str">
        <f>VLOOKUP($A63,'REMISE DOSSARDS'!$A$2:$H$102,4,FALSE)</f>
        <v>THIMOTHEE</v>
      </c>
      <c r="E63" s="108" t="str">
        <f>VLOOKUP($A63,'REMISE DOSSARDS'!$A$2:$H$102,5,FALSE)</f>
        <v>H</v>
      </c>
      <c r="F63" s="108"/>
      <c r="G63" s="108" t="str">
        <f>VLOOKUP($A63,'REMISE DOSSARDS'!$A$2:$H$102,7,FALSE)</f>
        <v>U15/16</v>
      </c>
      <c r="H63" s="108" t="str">
        <f>VLOOKUP($A63,'REMISE DOSSARDS'!$A$2:$H$102,8,FALSE)</f>
        <v>C2S</v>
      </c>
      <c r="I63" s="109">
        <v>1</v>
      </c>
      <c r="J63" s="109">
        <v>1</v>
      </c>
      <c r="K63" s="111">
        <v>1</v>
      </c>
      <c r="L63" s="110">
        <f>SUM(I63:K63)</f>
        <v>3</v>
      </c>
    </row>
    <row r="64" spans="1:12" ht="24.6" x14ac:dyDescent="0.3">
      <c r="A64" s="6">
        <v>50</v>
      </c>
      <c r="B64" s="107">
        <v>2</v>
      </c>
      <c r="C64" s="108" t="str">
        <f>VLOOKUP($A64,'REMISE DOSSARDS'!$A$2:$H$102,3,FALSE)</f>
        <v>JANIN</v>
      </c>
      <c r="D64" s="108" t="str">
        <f>VLOOKUP($A64,'REMISE DOSSARDS'!$A$2:$H$102,4,FALSE)</f>
        <v>TOM</v>
      </c>
      <c r="E64" s="108" t="str">
        <f>VLOOKUP($A64,'REMISE DOSSARDS'!$A$2:$H$102,5,FALSE)</f>
        <v>H</v>
      </c>
      <c r="F64" s="108"/>
      <c r="G64" s="108" t="str">
        <f>VLOOKUP($A64,'REMISE DOSSARDS'!$A$2:$H$102,7,FALSE)</f>
        <v>U15/16</v>
      </c>
      <c r="H64" s="108" t="str">
        <f>VLOOKUP($A64,'REMISE DOSSARDS'!$A$2:$H$102,8,FALSE)</f>
        <v>UC VOIRON</v>
      </c>
      <c r="I64" s="109">
        <v>2</v>
      </c>
      <c r="J64" s="109">
        <v>2</v>
      </c>
      <c r="K64" s="111">
        <v>4</v>
      </c>
      <c r="L64" s="110">
        <f>SUM(I64:K64)</f>
        <v>8</v>
      </c>
    </row>
    <row r="65" spans="1:12" ht="24.6" x14ac:dyDescent="0.3">
      <c r="A65" s="6">
        <v>49</v>
      </c>
      <c r="B65" s="107">
        <v>3</v>
      </c>
      <c r="C65" s="108" t="str">
        <f>VLOOKUP($A65,'REMISE DOSSARDS'!$A$2:$H$102,3,FALSE)</f>
        <v>HERNANDEZ</v>
      </c>
      <c r="D65" s="108" t="str">
        <f>VLOOKUP($A65,'REMISE DOSSARDS'!$A$2:$H$102,4,FALSE)</f>
        <v>RAFAEL</v>
      </c>
      <c r="E65" s="108" t="str">
        <f>VLOOKUP($A65,'REMISE DOSSARDS'!$A$2:$H$102,5,FALSE)</f>
        <v>H</v>
      </c>
      <c r="F65" s="108" t="str">
        <f>VLOOKUP($A65,'REMISE DOSSARDS'!$A$2:$H$102,6,FALSE)</f>
        <v>UFO</v>
      </c>
      <c r="G65" s="108" t="str">
        <f>VLOOKUP($A65,'REMISE DOSSARDS'!$A$2:$H$102,7,FALSE)</f>
        <v>U15/16</v>
      </c>
      <c r="H65" s="108" t="str">
        <f>VLOOKUP($A65,'REMISE DOSSARDS'!$A$2:$H$102,8,FALSE)</f>
        <v>UNION CYCLISTE VOIRONNAISE</v>
      </c>
      <c r="I65" s="109">
        <v>4</v>
      </c>
      <c r="J65" s="109">
        <v>4</v>
      </c>
      <c r="K65" s="111">
        <v>3</v>
      </c>
      <c r="L65" s="110">
        <f>SUM(I65:K65)</f>
        <v>11</v>
      </c>
    </row>
    <row r="66" spans="1:12" ht="24.6" x14ac:dyDescent="0.3">
      <c r="A66" s="6">
        <v>48</v>
      </c>
      <c r="B66" s="20">
        <v>4</v>
      </c>
      <c r="C66" s="7" t="str">
        <f>VLOOKUP($A66,'REMISE DOSSARDS'!$A$2:$H$102,3,FALSE)</f>
        <v>GIROD</v>
      </c>
      <c r="D66" s="7" t="str">
        <f>VLOOKUP($A66,'REMISE DOSSARDS'!$A$2:$H$102,4,FALSE)</f>
        <v>JOACHIM</v>
      </c>
      <c r="E66" s="7" t="str">
        <f>VLOOKUP($A66,'REMISE DOSSARDS'!$A$2:$H$102,5,FALSE)</f>
        <v>H</v>
      </c>
      <c r="F66" s="7"/>
      <c r="G66" s="7" t="str">
        <f>VLOOKUP($A66,'REMISE DOSSARDS'!$A$2:$H$102,7,FALSE)</f>
        <v>U15/16</v>
      </c>
      <c r="H66" s="7" t="str">
        <f>VLOOKUP($A66,'REMISE DOSSARDS'!$A$2:$H$102,8,FALSE)</f>
        <v>C2S</v>
      </c>
      <c r="I66" s="8">
        <v>8</v>
      </c>
      <c r="J66" s="8">
        <v>3</v>
      </c>
      <c r="K66" s="8">
        <v>2</v>
      </c>
      <c r="L66" s="33">
        <f>SUM(I66:K66)</f>
        <v>13</v>
      </c>
    </row>
    <row r="67" spans="1:12" ht="24.6" x14ac:dyDescent="0.3">
      <c r="A67" s="6">
        <v>53</v>
      </c>
      <c r="B67" s="20">
        <v>5</v>
      </c>
      <c r="C67" s="7" t="str">
        <f>VLOOKUP($A67,'REMISE DOSSARDS'!$A$2:$H$102,3,FALSE)</f>
        <v>SELIN</v>
      </c>
      <c r="D67" s="7" t="str">
        <f>VLOOKUP($A67,'REMISE DOSSARDS'!$A$2:$H$102,4,FALSE)</f>
        <v>LOIC</v>
      </c>
      <c r="E67" s="7" t="str">
        <f>VLOOKUP($A67,'REMISE DOSSARDS'!$A$2:$H$102,5,FALSE)</f>
        <v>H</v>
      </c>
      <c r="F67" s="7" t="str">
        <f>VLOOKUP($A67,'REMISE DOSSARDS'!$A$2:$H$102,6,FALSE)</f>
        <v>UFO</v>
      </c>
      <c r="G67" s="7" t="str">
        <f>VLOOKUP($A67,'REMISE DOSSARDS'!$A$2:$H$102,7,FALSE)</f>
        <v>U15/16</v>
      </c>
      <c r="H67" s="7" t="str">
        <f>VLOOKUP($A67,'REMISE DOSSARDS'!$A$2:$H$102,8,FALSE)</f>
        <v>UNION CYCLISTE VOIRONNAISE</v>
      </c>
      <c r="I67" s="8">
        <v>3</v>
      </c>
      <c r="J67" s="8">
        <v>5</v>
      </c>
      <c r="K67" s="21">
        <v>5</v>
      </c>
      <c r="L67" s="33">
        <f>SUM(I67:K67)</f>
        <v>13</v>
      </c>
    </row>
    <row r="68" spans="1:12" ht="24.6" x14ac:dyDescent="0.3">
      <c r="A68" s="6">
        <v>47</v>
      </c>
      <c r="B68" s="20">
        <v>6</v>
      </c>
      <c r="C68" s="7" t="str">
        <f>VLOOKUP($A68,'REMISE DOSSARDS'!$A$2:$H$102,3,FALSE)</f>
        <v>BRETIN</v>
      </c>
      <c r="D68" s="7" t="str">
        <f>VLOOKUP($A68,'REMISE DOSSARDS'!$A$2:$H$102,4,FALSE)</f>
        <v>MANOE</v>
      </c>
      <c r="E68" s="7" t="str">
        <f>VLOOKUP($A68,'REMISE DOSSARDS'!$A$2:$H$102,5,FALSE)</f>
        <v>H</v>
      </c>
      <c r="F68" s="7"/>
      <c r="G68" s="7" t="str">
        <f>VLOOKUP($A68,'REMISE DOSSARDS'!$A$2:$H$102,7,FALSE)</f>
        <v>U15/16</v>
      </c>
      <c r="H68" s="7" t="str">
        <f>VLOOKUP($A68,'REMISE DOSSARDS'!$A$2:$H$102,8,FALSE)</f>
        <v>U.C. VOIRONNAISE</v>
      </c>
      <c r="I68" s="8">
        <v>7</v>
      </c>
      <c r="J68" s="8">
        <v>7</v>
      </c>
      <c r="K68" s="21">
        <v>6</v>
      </c>
      <c r="L68" s="33">
        <f>SUM(I68:K68)</f>
        <v>20</v>
      </c>
    </row>
    <row r="69" spans="1:12" ht="24.6" x14ac:dyDescent="0.3">
      <c r="A69" s="6">
        <v>52</v>
      </c>
      <c r="B69" s="20" t="s">
        <v>161</v>
      </c>
      <c r="C69" s="7" t="str">
        <f>VLOOKUP($A69,'REMISE DOSSARDS'!$A$2:$H$102,3,FALSE)</f>
        <v>SADOT</v>
      </c>
      <c r="D69" s="7" t="str">
        <f>VLOOKUP($A69,'REMISE DOSSARDS'!$A$2:$H$102,4,FALSE)</f>
        <v>Baptiste</v>
      </c>
      <c r="E69" s="7" t="str">
        <f>VLOOKUP($A69,'REMISE DOSSARDS'!$A$2:$H$102,5,FALSE)</f>
        <v>H</v>
      </c>
      <c r="F69" s="7" t="str">
        <f>VLOOKUP($A69,'REMISE DOSSARDS'!$A$2:$H$102,6,FALSE)</f>
        <v>UFO</v>
      </c>
      <c r="G69" s="7" t="str">
        <f>VLOOKUP($A69,'REMISE DOSSARDS'!$A$2:$H$102,7,FALSE)</f>
        <v>U15/16</v>
      </c>
      <c r="H69" s="7" t="str">
        <f>VLOOKUP($A69,'REMISE DOSSARDS'!$A$2:$H$102,8,FALSE)</f>
        <v>UNION CYCLISTE VOIRONNAISE</v>
      </c>
      <c r="I69" s="8">
        <v>5</v>
      </c>
      <c r="J69" s="8">
        <v>6</v>
      </c>
      <c r="K69" s="21" t="s">
        <v>32</v>
      </c>
      <c r="L69" s="33" t="s">
        <v>32</v>
      </c>
    </row>
    <row r="70" spans="1:12" ht="24.6" x14ac:dyDescent="0.3">
      <c r="A70" s="6"/>
      <c r="B70" s="20"/>
      <c r="C70" s="7"/>
      <c r="D70" s="7"/>
      <c r="E70" s="8"/>
      <c r="F70" s="8"/>
      <c r="G70" s="10"/>
      <c r="H70" s="13"/>
      <c r="I70" s="8"/>
      <c r="J70" s="8"/>
      <c r="K70" s="8"/>
      <c r="L70" s="33"/>
    </row>
    <row r="71" spans="1:12" ht="24.6" x14ac:dyDescent="0.3">
      <c r="A71" s="112"/>
      <c r="B71" s="113"/>
      <c r="C71" s="114"/>
      <c r="D71" s="114"/>
      <c r="E71" s="115"/>
      <c r="F71" s="115"/>
      <c r="G71" s="116"/>
      <c r="H71" s="117"/>
      <c r="I71" s="115"/>
      <c r="J71" s="115"/>
      <c r="K71" s="115"/>
      <c r="L71" s="32"/>
    </row>
    <row r="72" spans="1:12" ht="17.399999999999999" x14ac:dyDescent="0.3">
      <c r="A72" s="103" t="s">
        <v>22</v>
      </c>
      <c r="B72" s="104"/>
      <c r="C72" s="1" t="s">
        <v>162</v>
      </c>
      <c r="D72" s="22"/>
      <c r="E72" s="105" t="s">
        <v>160</v>
      </c>
      <c r="F72" s="105"/>
      <c r="G72" s="9"/>
      <c r="H72" s="22"/>
      <c r="I72" s="22"/>
      <c r="J72" s="11" t="s">
        <v>23</v>
      </c>
      <c r="K72" s="23">
        <v>1</v>
      </c>
      <c r="L72" s="24"/>
    </row>
    <row r="73" spans="1:12" ht="26.4" x14ac:dyDescent="0.3">
      <c r="A73" s="2" t="s">
        <v>0</v>
      </c>
      <c r="B73" s="3" t="s">
        <v>21</v>
      </c>
      <c r="C73" s="4" t="s">
        <v>1</v>
      </c>
      <c r="D73" s="5" t="s">
        <v>2</v>
      </c>
      <c r="E73" s="4" t="s">
        <v>3</v>
      </c>
      <c r="F73" s="4" t="s">
        <v>6</v>
      </c>
      <c r="G73" s="5" t="s">
        <v>5</v>
      </c>
      <c r="H73" s="5" t="s">
        <v>4</v>
      </c>
      <c r="I73" s="3" t="s">
        <v>24</v>
      </c>
      <c r="J73" s="3" t="s">
        <v>25</v>
      </c>
      <c r="K73" s="4" t="s">
        <v>26</v>
      </c>
      <c r="L73" s="4" t="s">
        <v>27</v>
      </c>
    </row>
    <row r="74" spans="1:12" ht="24.6" x14ac:dyDescent="0.3">
      <c r="A74" s="6">
        <v>54</v>
      </c>
      <c r="B74" s="107">
        <v>1</v>
      </c>
      <c r="C74" s="108" t="str">
        <f>VLOOKUP($A74,'REMISE DOSSARDS'!$A$2:$H$102,3,FALSE)</f>
        <v>SORDET</v>
      </c>
      <c r="D74" s="108" t="str">
        <f>VLOOKUP($A74,'REMISE DOSSARDS'!$A$2:$H$102,4,FALSE)</f>
        <v>LILY-ANNE</v>
      </c>
      <c r="E74" s="108" t="str">
        <f>VLOOKUP($A74,'REMISE DOSSARDS'!$A$2:$H$102,5,FALSE)</f>
        <v>F</v>
      </c>
      <c r="F74" s="108" t="str">
        <f>VLOOKUP($A74,'REMISE DOSSARDS'!$A$2:$H$102,6,FALSE)</f>
        <v>UFO</v>
      </c>
      <c r="G74" s="108" t="str">
        <f>VLOOKUP($A74,'REMISE DOSSARDS'!$A$2:$H$102,7,FALSE)</f>
        <v>U15/16</v>
      </c>
      <c r="H74" s="108" t="str">
        <f>VLOOKUP($A74,'REMISE DOSSARDS'!$A$2:$H$102,8,FALSE)</f>
        <v>UNION CYCLISTE VOIRONNAISE</v>
      </c>
      <c r="I74" s="109">
        <v>6</v>
      </c>
      <c r="J74" s="109">
        <v>8</v>
      </c>
      <c r="K74" s="111">
        <v>7</v>
      </c>
      <c r="L74" s="110">
        <f t="shared" ref="L74" si="0">SUM(I74:K74)</f>
        <v>21</v>
      </c>
    </row>
    <row r="75" spans="1:12" ht="24.6" x14ac:dyDescent="0.3">
      <c r="A75" s="25"/>
      <c r="B75" s="26"/>
      <c r="C75" s="27"/>
      <c r="D75" s="27"/>
      <c r="E75" s="12"/>
      <c r="F75" s="12"/>
      <c r="G75" s="14"/>
      <c r="H75" s="28"/>
      <c r="I75" s="29"/>
      <c r="J75" s="30"/>
      <c r="K75" s="12"/>
      <c r="L75" s="32"/>
    </row>
    <row r="76" spans="1:12" ht="51.75" customHeight="1" x14ac:dyDescent="0.3">
      <c r="A76" s="103" t="s">
        <v>22</v>
      </c>
      <c r="B76" s="104"/>
      <c r="C76" s="1" t="s">
        <v>12</v>
      </c>
      <c r="D76" s="22"/>
      <c r="E76" s="105" t="s">
        <v>160</v>
      </c>
      <c r="F76" s="105"/>
      <c r="G76" s="9"/>
      <c r="H76" s="22"/>
      <c r="I76" s="22"/>
      <c r="J76" s="11" t="s">
        <v>23</v>
      </c>
      <c r="K76" s="23">
        <f>COUNTA(A78:A83)</f>
        <v>6</v>
      </c>
      <c r="L76" s="24"/>
    </row>
    <row r="77" spans="1:12" ht="26.4" x14ac:dyDescent="0.3">
      <c r="A77" s="2" t="s">
        <v>0</v>
      </c>
      <c r="B77" s="3" t="s">
        <v>21</v>
      </c>
      <c r="C77" s="4" t="s">
        <v>1</v>
      </c>
      <c r="D77" s="5" t="s">
        <v>2</v>
      </c>
      <c r="E77" s="4" t="s">
        <v>3</v>
      </c>
      <c r="F77" s="4" t="s">
        <v>6</v>
      </c>
      <c r="G77" s="5" t="s">
        <v>5</v>
      </c>
      <c r="H77" s="5" t="s">
        <v>4</v>
      </c>
      <c r="I77" s="3" t="s">
        <v>24</v>
      </c>
      <c r="J77" s="3" t="s">
        <v>25</v>
      </c>
      <c r="K77" s="4" t="s">
        <v>26</v>
      </c>
      <c r="L77" s="4" t="s">
        <v>27</v>
      </c>
    </row>
    <row r="78" spans="1:12" ht="24.6" x14ac:dyDescent="0.3">
      <c r="A78" s="6">
        <v>56</v>
      </c>
      <c r="B78" s="20">
        <v>1</v>
      </c>
      <c r="C78" s="7" t="str">
        <f>VLOOKUP($A78,'REMISE DOSSARDS'!$A$2:$H$102,3,FALSE)</f>
        <v>DRIOT</v>
      </c>
      <c r="D78" s="7" t="str">
        <f>VLOOKUP($A78,'REMISE DOSSARDS'!$A$2:$H$102,4,FALSE)</f>
        <v>Marion</v>
      </c>
      <c r="E78" s="7" t="str">
        <f>VLOOKUP($A78,'REMISE DOSSARDS'!$A$2:$H$102,5,FALSE)</f>
        <v>F</v>
      </c>
      <c r="F78" s="7" t="str">
        <f>VLOOKUP($A78,'REMISE DOSSARDS'!$A$2:$H$102,6,FALSE)</f>
        <v>UFO</v>
      </c>
      <c r="G78" s="7" t="str">
        <f>VLOOKUP($A78,'REMISE DOSSARDS'!$A$2:$H$102,7,FALSE)</f>
        <v>U Fem</v>
      </c>
      <c r="H78" s="7" t="str">
        <f>VLOOKUP($A78,'REMISE DOSSARDS'!$A$2:$H$102,8,FALSE)</f>
        <v>TEAM 3 MASSIFS</v>
      </c>
      <c r="I78" s="21">
        <v>1</v>
      </c>
      <c r="J78" s="21">
        <v>1</v>
      </c>
      <c r="K78" s="8">
        <v>3</v>
      </c>
      <c r="L78" s="33">
        <f>SUM(I78:K78)</f>
        <v>5</v>
      </c>
    </row>
    <row r="79" spans="1:12" ht="28.8" x14ac:dyDescent="0.3">
      <c r="A79" s="6">
        <v>58</v>
      </c>
      <c r="B79" s="20">
        <v>2</v>
      </c>
      <c r="C79" s="7" t="str">
        <f>VLOOKUP($A79,'REMISE DOSSARDS'!$A$2:$H$102,3,FALSE)</f>
        <v>SEVOZ</v>
      </c>
      <c r="D79" s="7" t="str">
        <f>VLOOKUP($A79,'REMISE DOSSARDS'!$A$2:$H$102,4,FALSE)</f>
        <v>LAVERDURE CELIA</v>
      </c>
      <c r="E79" s="7" t="str">
        <f>VLOOKUP($A79,'REMISE DOSSARDS'!$A$2:$H$102,5,FALSE)</f>
        <v>F</v>
      </c>
      <c r="F79" s="7" t="str">
        <f>VLOOKUP($A79,'REMISE DOSSARDS'!$A$2:$H$102,6,FALSE)</f>
        <v>UFO</v>
      </c>
      <c r="G79" s="7" t="str">
        <f>VLOOKUP($A79,'REMISE DOSSARDS'!$A$2:$H$102,7,FALSE)</f>
        <v>U Fem</v>
      </c>
      <c r="H79" s="7" t="str">
        <f>VLOOKUP($A79,'REMISE DOSSARDS'!$A$2:$H$102,8,FALSE)</f>
        <v>UNION CYCLISTE VOIRONNAISE</v>
      </c>
      <c r="I79" s="21">
        <v>2</v>
      </c>
      <c r="J79" s="21">
        <v>3</v>
      </c>
      <c r="K79" s="8">
        <v>1</v>
      </c>
      <c r="L79" s="33">
        <f>SUM(I79:K79)</f>
        <v>6</v>
      </c>
    </row>
    <row r="80" spans="1:12" ht="24.6" x14ac:dyDescent="0.3">
      <c r="A80" s="6">
        <v>55</v>
      </c>
      <c r="B80" s="20">
        <v>3</v>
      </c>
      <c r="C80" s="7" t="str">
        <f>VLOOKUP($A80,'REMISE DOSSARDS'!$A$2:$H$102,3,FALSE)</f>
        <v>GIROD</v>
      </c>
      <c r="D80" s="7" t="str">
        <f>VLOOKUP($A80,'REMISE DOSSARDS'!$A$2:$H$102,4,FALSE)</f>
        <v>ANNA</v>
      </c>
      <c r="E80" s="7" t="str">
        <f>VLOOKUP($A80,'REMISE DOSSARDS'!$A$2:$H$102,5,FALSE)</f>
        <v>F</v>
      </c>
      <c r="F80" s="7"/>
      <c r="G80" s="7" t="str">
        <f>VLOOKUP($A80,'REMISE DOSSARDS'!$A$2:$H$102,7,FALSE)</f>
        <v>U Fem</v>
      </c>
      <c r="H80" s="7" t="str">
        <f>VLOOKUP($A80,'REMISE DOSSARDS'!$A$2:$H$102,8,FALSE)</f>
        <v>C2S</v>
      </c>
      <c r="I80" s="21">
        <v>5</v>
      </c>
      <c r="J80" s="21">
        <v>2</v>
      </c>
      <c r="K80" s="8">
        <v>2</v>
      </c>
      <c r="L80" s="33">
        <f>SUM(I80:K80)</f>
        <v>9</v>
      </c>
    </row>
    <row r="81" spans="1:12" ht="24.6" x14ac:dyDescent="0.3">
      <c r="A81" s="6">
        <v>60</v>
      </c>
      <c r="B81" s="20">
        <v>4</v>
      </c>
      <c r="C81" s="7" t="str">
        <f>VLOOKUP($A81,'REMISE DOSSARDS'!$A$2:$H$102,3,FALSE)</f>
        <v>LADURELLE</v>
      </c>
      <c r="D81" s="7" t="str">
        <f>VLOOKUP($A81,'REMISE DOSSARDS'!$A$2:$H$102,4,FALSE)</f>
        <v>Sophia</v>
      </c>
      <c r="E81" s="7" t="str">
        <f>VLOOKUP($A81,'REMISE DOSSARDS'!$A$2:$H$102,5,FALSE)</f>
        <v>F</v>
      </c>
      <c r="F81" s="7"/>
      <c r="G81" s="7" t="str">
        <f>VLOOKUP($A81,'REMISE DOSSARDS'!$A$2:$H$102,7,FALSE)</f>
        <v>U Fem</v>
      </c>
      <c r="H81" s="7" t="str">
        <f>VLOOKUP($A81,'REMISE DOSSARDS'!$A$2:$H$102,8,FALSE)</f>
        <v>UNION CYCLISTE VOIRONNAISE</v>
      </c>
      <c r="I81" s="21">
        <v>3</v>
      </c>
      <c r="J81" s="21">
        <v>4</v>
      </c>
      <c r="K81" s="8">
        <v>5</v>
      </c>
      <c r="L81" s="33">
        <f>SUM(I81:K81)</f>
        <v>12</v>
      </c>
    </row>
    <row r="82" spans="1:12" ht="24.6" x14ac:dyDescent="0.3">
      <c r="A82" s="6">
        <v>57</v>
      </c>
      <c r="B82" s="20">
        <v>5</v>
      </c>
      <c r="C82" s="7" t="str">
        <f>VLOOKUP($A82,'REMISE DOSSARDS'!$A$2:$H$102,3,FALSE)</f>
        <v>SELIN</v>
      </c>
      <c r="D82" s="7" t="str">
        <f>VLOOKUP($A82,'REMISE DOSSARDS'!$A$2:$H$102,4,FALSE)</f>
        <v>KARINE</v>
      </c>
      <c r="E82" s="7" t="str">
        <f>VLOOKUP($A82,'REMISE DOSSARDS'!$A$2:$H$102,5,FALSE)</f>
        <v>F</v>
      </c>
      <c r="F82" s="7" t="str">
        <f>VLOOKUP($A82,'REMISE DOSSARDS'!$A$2:$H$102,6,FALSE)</f>
        <v>UFO</v>
      </c>
      <c r="G82" s="7" t="str">
        <f>VLOOKUP($A82,'REMISE DOSSARDS'!$A$2:$H$102,7,FALSE)</f>
        <v>U Fem</v>
      </c>
      <c r="H82" s="7" t="str">
        <f>VLOOKUP($A82,'REMISE DOSSARDS'!$A$2:$H$102,8,FALSE)</f>
        <v>UNION CYCLISTE VOIRONNAISE</v>
      </c>
      <c r="I82" s="21">
        <v>4</v>
      </c>
      <c r="J82" s="21">
        <v>5</v>
      </c>
      <c r="K82" s="8">
        <v>4</v>
      </c>
      <c r="L82" s="33">
        <f>SUM(I82:K82)</f>
        <v>13</v>
      </c>
    </row>
    <row r="83" spans="1:12" ht="24.6" x14ac:dyDescent="0.3">
      <c r="A83" s="6">
        <v>59</v>
      </c>
      <c r="B83" s="20" t="s">
        <v>161</v>
      </c>
      <c r="C83" s="7" t="str">
        <f>VLOOKUP($A83,'REMISE DOSSARDS'!$A$2:$H$102,3,FALSE)</f>
        <v>GRIMAUD</v>
      </c>
      <c r="D83" s="7" t="str">
        <f>VLOOKUP($A83,'REMISE DOSSARDS'!$A$2:$H$102,4,FALSE)</f>
        <v>Corinne</v>
      </c>
      <c r="E83" s="7" t="str">
        <f>VLOOKUP($A83,'REMISE DOSSARDS'!$A$2:$H$102,5,FALSE)</f>
        <v>F</v>
      </c>
      <c r="F83" s="7" t="str">
        <f>VLOOKUP($A83,'REMISE DOSSARDS'!$A$2:$H$102,6,FALSE)</f>
        <v>UFO</v>
      </c>
      <c r="G83" s="7" t="str">
        <f>VLOOKUP($A83,'REMISE DOSSARDS'!$A$2:$H$102,7,FALSE)</f>
        <v>U Fem</v>
      </c>
      <c r="H83" s="7" t="str">
        <f>VLOOKUP($A83,'REMISE DOSSARDS'!$A$2:$H$102,8,FALSE)</f>
        <v>LE FONTANIL CYCLISME</v>
      </c>
      <c r="I83" s="21" t="s">
        <v>31</v>
      </c>
      <c r="J83" s="21" t="s">
        <v>31</v>
      </c>
      <c r="K83" s="21" t="s">
        <v>31</v>
      </c>
      <c r="L83" s="33" t="s">
        <v>31</v>
      </c>
    </row>
  </sheetData>
  <autoFilter ref="A77:L83" xr:uid="{FB961815-B320-4793-9427-6C92A068EEC3}">
    <sortState xmlns:xlrd2="http://schemas.microsoft.com/office/spreadsheetml/2017/richdata2" ref="A78:L83">
      <sortCondition ref="L77:L83"/>
    </sortState>
  </autoFilter>
  <mergeCells count="14">
    <mergeCell ref="A76:B76"/>
    <mergeCell ref="E76:F76"/>
    <mergeCell ref="A53:B53"/>
    <mergeCell ref="E53:F53"/>
    <mergeCell ref="A61:B61"/>
    <mergeCell ref="E61:F61"/>
    <mergeCell ref="A72:B72"/>
    <mergeCell ref="E72:F72"/>
    <mergeCell ref="A1:B1"/>
    <mergeCell ref="E1:F1"/>
    <mergeCell ref="A10:B10"/>
    <mergeCell ref="E10:F10"/>
    <mergeCell ref="A28:B28"/>
    <mergeCell ref="E28:F28"/>
  </mergeCells>
  <conditionalFormatting sqref="A9 A27">
    <cfRule type="expression" dxfId="3" priority="44" stopIfTrue="1">
      <formula>$C9&lt;&gt;""</formula>
    </cfRule>
  </conditionalFormatting>
  <conditionalFormatting sqref="A52">
    <cfRule type="expression" dxfId="2" priority="42" stopIfTrue="1">
      <formula>$C52&lt;&gt;""</formula>
    </cfRule>
  </conditionalFormatting>
  <conditionalFormatting sqref="A60">
    <cfRule type="expression" dxfId="1" priority="37" stopIfTrue="1">
      <formula>$C60&lt;&gt;""</formula>
    </cfRule>
  </conditionalFormatting>
  <conditionalFormatting sqref="A75">
    <cfRule type="expression" dxfId="0" priority="33" stopIfTrue="1">
      <formula>$C75&lt;&gt;""</formula>
    </cfRule>
  </conditionalFormatting>
  <pageMargins left="0.31496062992125984" right="0.31496062992125984" top="0.19685039370078741" bottom="0.19685039370078741" header="0" footer="0"/>
  <pageSetup paperSize="9" scale="87" fitToHeight="0" orientation="landscape" horizontalDpi="4294967293" verticalDpi="4294967293" r:id="rId1"/>
  <rowBreaks count="5" manualBreakCount="5">
    <brk id="9" max="16383" man="1"/>
    <brk id="27" max="16383" man="1"/>
    <brk id="52" max="16383" man="1"/>
    <brk id="60" max="16383" man="1"/>
    <brk id="75" max="16383" man="1"/>
  </rowBreaks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REMISE DOSSARDS</vt:lpstr>
      <vt:lpstr>CLASSEMENT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Carine PIC</dc:creator>
  <cp:lastModifiedBy>VIAL Willy</cp:lastModifiedBy>
  <cp:lastPrinted>2026-10-03T18:25:23Z</cp:lastPrinted>
  <dcterms:created xsi:type="dcterms:W3CDTF">2022-06-04T08:48:54Z</dcterms:created>
  <dcterms:modified xsi:type="dcterms:W3CDTF">2026-10-05T15:52:48Z</dcterms:modified>
</cp:coreProperties>
</file>