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ynet1-my.sharepoint.com/personal/gregory_bucci_araymond_com/Documents/Documents/Personnel/Vélo/T3M/GP Sainte Marie d'Alloix/2026/"/>
    </mc:Choice>
  </mc:AlternateContent>
  <xr:revisionPtr revIDLastSave="53" documentId="8_{9E12C4A9-C28F-4C97-8F2D-1B0D1E4B0ED0}" xr6:coauthVersionLast="47" xr6:coauthVersionMax="47" xr10:uidLastSave="{BD93BE89-50B9-4BE8-9262-6DD61433B2FD}"/>
  <bookViews>
    <workbookView xWindow="-108" yWindow="-108" windowWidth="23256" windowHeight="12456" activeTab="2" xr2:uid="{FC68BE4A-A2FE-4B79-89D0-E2BF77A97801}"/>
  </bookViews>
  <sheets>
    <sheet name="Cat.1" sheetId="1" r:id="rId1"/>
    <sheet name="Cat.2" sheetId="3" r:id="rId2"/>
    <sheet name="Cat.3" sheetId="4" r:id="rId3"/>
    <sheet name="Cat.4" sheetId="5" r:id="rId4"/>
    <sheet name="Fem" sheetId="6" r:id="rId5"/>
    <sheet name="U15_U16" sheetId="7" r:id="rId6"/>
    <sheet name="Liste_Dossards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4" l="1"/>
  <c r="D21" i="4"/>
  <c r="C21" i="4"/>
  <c r="C11" i="1"/>
  <c r="C12" i="1"/>
  <c r="C13" i="1"/>
  <c r="C7" i="5"/>
  <c r="D7" i="5" s="1"/>
  <c r="C8" i="5"/>
  <c r="D8" i="5" s="1"/>
  <c r="C9" i="5"/>
  <c r="D9" i="5" s="1"/>
  <c r="C10" i="5"/>
  <c r="D10" i="5" s="1"/>
  <c r="C11" i="5"/>
  <c r="D11" i="5" s="1"/>
  <c r="C12" i="5"/>
  <c r="D12" i="5" s="1"/>
  <c r="C13" i="5"/>
  <c r="D13" i="5" s="1"/>
  <c r="C14" i="5"/>
  <c r="D14" i="5" s="1"/>
  <c r="C15" i="5"/>
  <c r="D15" i="5" s="1"/>
  <c r="C16" i="5"/>
  <c r="D16" i="5" s="1"/>
  <c r="C15" i="4"/>
  <c r="D15" i="4" s="1"/>
  <c r="C16" i="4"/>
  <c r="D16" i="4" s="1"/>
  <c r="C17" i="4"/>
  <c r="D17" i="4" s="1"/>
  <c r="C18" i="4"/>
  <c r="D18" i="4" s="1"/>
  <c r="C19" i="4"/>
  <c r="D19" i="4" s="1"/>
  <c r="C20" i="4"/>
  <c r="D20" i="4" s="1"/>
  <c r="C22" i="4"/>
  <c r="C23" i="4"/>
  <c r="D23" i="4" s="1"/>
  <c r="C24" i="4"/>
  <c r="D24" i="4" s="1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D31" i="4" s="1"/>
  <c r="C32" i="4"/>
  <c r="D32" i="4" s="1"/>
  <c r="C33" i="4"/>
  <c r="D33" i="4" s="1"/>
  <c r="C11" i="7"/>
  <c r="D11" i="7" s="1"/>
  <c r="C10" i="7"/>
  <c r="D10" i="7" s="1"/>
  <c r="C9" i="7"/>
  <c r="D9" i="7" s="1"/>
  <c r="C8" i="7"/>
  <c r="D8" i="7" s="1"/>
  <c r="C7" i="7"/>
  <c r="D7" i="7" s="1"/>
  <c r="C6" i="7"/>
  <c r="D6" i="7" s="1"/>
  <c r="C5" i="7"/>
  <c r="D5" i="7" s="1"/>
  <c r="C4" i="7"/>
  <c r="D4" i="7" s="1"/>
  <c r="C3" i="7"/>
  <c r="D3" i="7" s="1"/>
  <c r="C2" i="7"/>
  <c r="D2" i="7" s="1"/>
  <c r="C6" i="6"/>
  <c r="D6" i="6" s="1"/>
  <c r="C5" i="6"/>
  <c r="D5" i="6" s="1"/>
  <c r="C4" i="6"/>
  <c r="D4" i="6" s="1"/>
  <c r="C3" i="6"/>
  <c r="D3" i="6" s="1"/>
  <c r="C2" i="6"/>
  <c r="D2" i="6" s="1"/>
  <c r="C6" i="5"/>
  <c r="D6" i="5" s="1"/>
  <c r="C5" i="5"/>
  <c r="D5" i="5" s="1"/>
  <c r="C4" i="5"/>
  <c r="D4" i="5" s="1"/>
  <c r="C3" i="5"/>
  <c r="D3" i="5" s="1"/>
  <c r="C2" i="5"/>
  <c r="D2" i="5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14" i="4"/>
  <c r="D14" i="4" s="1"/>
  <c r="C13" i="4"/>
  <c r="D13" i="4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4" i="1"/>
  <c r="D14" i="1" s="1"/>
  <c r="C15" i="1"/>
  <c r="D15" i="1" s="1"/>
  <c r="C16" i="1"/>
  <c r="D16" i="1" s="1"/>
  <c r="C2" i="1"/>
  <c r="D2" i="1" s="1"/>
</calcChain>
</file>

<file path=xl/sharedStrings.xml><?xml version="1.0" encoding="utf-8"?>
<sst xmlns="http://schemas.openxmlformats.org/spreadsheetml/2006/main" count="446" uniqueCount="193">
  <si>
    <t>Nom</t>
  </si>
  <si>
    <t>Club</t>
  </si>
  <si>
    <t>Licence</t>
  </si>
  <si>
    <t>Cat/val</t>
  </si>
  <si>
    <t>Affiliation</t>
  </si>
  <si>
    <t>HERNANDEZ RAFAEL</t>
  </si>
  <si>
    <t>UNION CYCLISTE VOIRONNAISE</t>
  </si>
  <si>
    <t>03893367226</t>
  </si>
  <si>
    <t>15-16</t>
  </si>
  <si>
    <t>UFO</t>
  </si>
  <si>
    <t>LADURELLE  CHARLES</t>
  </si>
  <si>
    <t>LMSC</t>
  </si>
  <si>
    <t>UC VOIRONNAISE</t>
  </si>
  <si>
    <t>SELIN LOIC</t>
  </si>
  <si>
    <t>03893347817</t>
  </si>
  <si>
    <t>TANGUY MATHIS</t>
  </si>
  <si>
    <t>LA MOTTE SERVOLEX CYCLISME</t>
  </si>
  <si>
    <t>CONTI GUILLAUME</t>
  </si>
  <si>
    <t>TEAM JALLET AUTO</t>
  </si>
  <si>
    <t>1re</t>
  </si>
  <si>
    <t>GAUTHIER--PHILIPPE  ERWIN</t>
  </si>
  <si>
    <t>LAC ALIANCE CYCLISTE</t>
  </si>
  <si>
    <t>GIRAUD MATTHIEU</t>
  </si>
  <si>
    <t>UC RIVES</t>
  </si>
  <si>
    <t>LABORY JEREMY</t>
  </si>
  <si>
    <t>LAC ALLIANCE CYCLISME</t>
  </si>
  <si>
    <t>LAPIERRE NOE</t>
  </si>
  <si>
    <t>TEAM 3 MASSIFS</t>
  </si>
  <si>
    <t>03893362655</t>
  </si>
  <si>
    <t>MUNSTERMAN NIELS</t>
  </si>
  <si>
    <t>UC PONTCHARRA</t>
  </si>
  <si>
    <t>PERES PIERRE</t>
  </si>
  <si>
    <t>LA TEAM COULEURS SAVOIE</t>
  </si>
  <si>
    <t>VERNEY FREDERIC</t>
  </si>
  <si>
    <t>BESCOND DIDIER</t>
  </si>
  <si>
    <t>JARRIE CHAMP SUR DRAC CYCLISME</t>
  </si>
  <si>
    <t>03893317153</t>
  </si>
  <si>
    <t>2e</t>
  </si>
  <si>
    <t>CHERY Paul</t>
  </si>
  <si>
    <t>LE FONTANIL CYCLISME</t>
  </si>
  <si>
    <t>03893357279</t>
  </si>
  <si>
    <t>CLEMENT JUST</t>
  </si>
  <si>
    <t>03893370646</t>
  </si>
  <si>
    <t>COLLETTE MAXIME</t>
  </si>
  <si>
    <t>03893362713</t>
  </si>
  <si>
    <t>DELETROY AXEL</t>
  </si>
  <si>
    <t>03893344230</t>
  </si>
  <si>
    <t>JALLET WILLIAM</t>
  </si>
  <si>
    <t>LADURELLE BENOIT</t>
  </si>
  <si>
    <t>LISI SAMUELE</t>
  </si>
  <si>
    <t>03893322279</t>
  </si>
  <si>
    <t>MAT CAMILLE</t>
  </si>
  <si>
    <t>MERLO RAPHAEL</t>
  </si>
  <si>
    <t>03893361657</t>
  </si>
  <si>
    <t>MORACCHIOLI THOMAS</t>
  </si>
  <si>
    <t>03893359805</t>
  </si>
  <si>
    <t>PUDELKO SEBASTIEN</t>
  </si>
  <si>
    <t>LA TRONCHE VELO SPORT</t>
  </si>
  <si>
    <t>03893367145</t>
  </si>
  <si>
    <t>SANTALUCIA UGO</t>
  </si>
  <si>
    <t>03893368574</t>
  </si>
  <si>
    <t>TELLIER GUILLAUME</t>
  </si>
  <si>
    <t>TRUC-VALLET  THOMAS</t>
  </si>
  <si>
    <t>PAS DE CLUB</t>
  </si>
  <si>
    <t>TRUPPA  KEVIN</t>
  </si>
  <si>
    <t>ALESSANDRI DAMIEN</t>
  </si>
  <si>
    <t>03893352233</t>
  </si>
  <si>
    <t>3e</t>
  </si>
  <si>
    <t>BONNAL THIERRY</t>
  </si>
  <si>
    <t>UNION CYCLISTE DE PONTCHARRA GRESIVAUDAN</t>
  </si>
  <si>
    <t>03893367472</t>
  </si>
  <si>
    <t>BONNEFILLE ROMAIN</t>
  </si>
  <si>
    <t>03893369033</t>
  </si>
  <si>
    <t>BROCHET XAVIER</t>
  </si>
  <si>
    <t>03893369411</t>
  </si>
  <si>
    <t>BUCCI GREGORY</t>
  </si>
  <si>
    <t>03893354271</t>
  </si>
  <si>
    <t>BUISSON GREGORY</t>
  </si>
  <si>
    <t>03893274622</t>
  </si>
  <si>
    <t>CARTIER STEPHANE</t>
  </si>
  <si>
    <t>03893358845</t>
  </si>
  <si>
    <t>CHAUMONT COLIN</t>
  </si>
  <si>
    <t>03893367088</t>
  </si>
  <si>
    <t>D'ASCOLI JEAN-PIERRE</t>
  </si>
  <si>
    <t>CYCLO CLUB DE GIERES</t>
  </si>
  <si>
    <t>03893290428</t>
  </si>
  <si>
    <t>DEBUCK LAURENT</t>
  </si>
  <si>
    <t>03893335373</t>
  </si>
  <si>
    <t>DOLLION MARGO</t>
  </si>
  <si>
    <t>TEAM ELLES</t>
  </si>
  <si>
    <t>DORCE-MICHEL STEVENSON</t>
  </si>
  <si>
    <t>03893370879</t>
  </si>
  <si>
    <t>GATEAUX Damien</t>
  </si>
  <si>
    <t>03893358777</t>
  </si>
  <si>
    <t>GIANNONE JOSEPH</t>
  </si>
  <si>
    <t>03893350944</t>
  </si>
  <si>
    <t>KAIFFER NICOLAS</t>
  </si>
  <si>
    <t>03893369409</t>
  </si>
  <si>
    <t>LANDA MATTHIEU</t>
  </si>
  <si>
    <t>MICAS TITOUAN</t>
  </si>
  <si>
    <t>03893350999</t>
  </si>
  <si>
    <t>NORAZ FLORENT</t>
  </si>
  <si>
    <t>03893322067</t>
  </si>
  <si>
    <t>PAQUET DOMINIQUE</t>
  </si>
  <si>
    <t>RIVES UNION CYCLISTE</t>
  </si>
  <si>
    <t>03893369035</t>
  </si>
  <si>
    <t>PARROT YVES</t>
  </si>
  <si>
    <t>03893367343</t>
  </si>
  <si>
    <t>PATRICELLI ARMAND</t>
  </si>
  <si>
    <t>03893290434</t>
  </si>
  <si>
    <t>PENEL STEPHANE</t>
  </si>
  <si>
    <t>VTT CHARTREUSE</t>
  </si>
  <si>
    <t>SAINTHUILE TRISTAN</t>
  </si>
  <si>
    <t>03893362254</t>
  </si>
  <si>
    <t>SCISCIOLI LEONARD</t>
  </si>
  <si>
    <t>SUD GRESIVAUDAN CYCLISME</t>
  </si>
  <si>
    <t>03893368576</t>
  </si>
  <si>
    <t>SEVOZ ARNAUD</t>
  </si>
  <si>
    <t>03893253368</t>
  </si>
  <si>
    <t>THEVENET PIERRICK</t>
  </si>
  <si>
    <t>03893368182</t>
  </si>
  <si>
    <t>TOFFANIN Alexis</t>
  </si>
  <si>
    <t>TA10000126</t>
  </si>
  <si>
    <t>TROUPEL  BENOIST</t>
  </si>
  <si>
    <t>UHRY GILLES</t>
  </si>
  <si>
    <t>03893345290</t>
  </si>
  <si>
    <t>BUSCAYLET PHILIPPE</t>
  </si>
  <si>
    <t>03847325523</t>
  </si>
  <si>
    <t>4-A</t>
  </si>
  <si>
    <t>HURSON NICOLAS</t>
  </si>
  <si>
    <t>03893338834</t>
  </si>
  <si>
    <t>LOUPIEN VINCENT</t>
  </si>
  <si>
    <t>03893295195</t>
  </si>
  <si>
    <t>RAMBAUD JULIEN</t>
  </si>
  <si>
    <t>03893354286</t>
  </si>
  <si>
    <t>SAUVAGE CYRIL</t>
  </si>
  <si>
    <t>03893312880</t>
  </si>
  <si>
    <t>VALERO ANGELIQUE</t>
  </si>
  <si>
    <t>03893343268</t>
  </si>
  <si>
    <t>CHABOT GILLES</t>
  </si>
  <si>
    <t>Union cycliste du pays Gapencais</t>
  </si>
  <si>
    <t>00581418188</t>
  </si>
  <si>
    <t>4-B</t>
  </si>
  <si>
    <t>GUILLERMIN ROLAND</t>
  </si>
  <si>
    <t>03851223283</t>
  </si>
  <si>
    <t>COTE CHANTAL</t>
  </si>
  <si>
    <t>03893372079</t>
  </si>
  <si>
    <t>FEM</t>
  </si>
  <si>
    <t>ILNICKA OCEANE</t>
  </si>
  <si>
    <t>03893341418</t>
  </si>
  <si>
    <t>SELIN KARINE</t>
  </si>
  <si>
    <t>03893345593</t>
  </si>
  <si>
    <t>SEVOZ LAVERDURE CELIA</t>
  </si>
  <si>
    <t>03893350400</t>
  </si>
  <si>
    <t>PASS</t>
  </si>
  <si>
    <t>Numéro de dossard</t>
  </si>
  <si>
    <t>Classement Cat.1</t>
  </si>
  <si>
    <t>N° de Dossard</t>
  </si>
  <si>
    <t>Nom Prénom</t>
  </si>
  <si>
    <t>Classement Cat.2</t>
  </si>
  <si>
    <t>Classement Cat.3</t>
  </si>
  <si>
    <t>Classement Cat.4</t>
  </si>
  <si>
    <t>Classement Femmes</t>
  </si>
  <si>
    <t>Classement U15/U16</t>
  </si>
  <si>
    <t>Dossard récupéré</t>
  </si>
  <si>
    <t>Pièce d'identité</t>
  </si>
  <si>
    <t>RIPPERT VALENTIN</t>
  </si>
  <si>
    <t>MONGE NICOLAS</t>
  </si>
  <si>
    <t>PINTUS EMMANUEL</t>
  </si>
  <si>
    <t>MAINGOT ALEXANDRE</t>
  </si>
  <si>
    <t>1er</t>
  </si>
  <si>
    <t>MESSY PATRICK</t>
  </si>
  <si>
    <t>VELO CLUB DE PORC DE BOUC</t>
  </si>
  <si>
    <t>BOUVIER THOMAS</t>
  </si>
  <si>
    <t xml:space="preserve">2e </t>
  </si>
  <si>
    <t>CARTIER MILLION RAYMOND</t>
  </si>
  <si>
    <t>DUCOL GILLES</t>
  </si>
  <si>
    <t>SAINTAIN-FANCHON RONAN</t>
  </si>
  <si>
    <t>FRITSH NICOLAS</t>
  </si>
  <si>
    <t>MOSCA PATRICK</t>
  </si>
  <si>
    <t>WIECZOREK BAPTISTE</t>
  </si>
  <si>
    <t>VILLAIN STEPHANE</t>
  </si>
  <si>
    <t>HAGE BENOIT</t>
  </si>
  <si>
    <t>BOISSY GUENAL</t>
  </si>
  <si>
    <t>SOURIMANT NICOLAS</t>
  </si>
  <si>
    <t>MERRAT YANNICK</t>
  </si>
  <si>
    <t>COGNE SEBASTIEN</t>
  </si>
  <si>
    <t>POMMIER NICOLAS</t>
  </si>
  <si>
    <t xml:space="preserve">3e </t>
  </si>
  <si>
    <t>Doit payer 10€</t>
  </si>
  <si>
    <t>CHAMBON</t>
  </si>
  <si>
    <t xml:space="preserve">1er </t>
  </si>
  <si>
    <t>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</si>
</sst>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name val="Arial"/>
      <family val="2"/>
    </font>
    <font>
      <sz val="20"/>
      <name val="Aptos Narrow"/>
      <family val="2"/>
      <scheme val="minor"/>
    </font>
    <font>
      <sz val="20"/>
      <color rgb="FFFF0000"/>
      <name val="Aptos Narrow"/>
      <family val="2"/>
      <scheme val="minor"/>
    </font>
    <font>
      <strike/>
      <sz val="20"/>
      <name val="Aptos Narrow"/>
      <family val="2"/>
      <scheme val="minor"/>
    </font>
    <font>
      <strike/>
      <sz val="20"/>
      <name val="Arial"/>
      <family val="2"/>
    </font>
    <font>
      <strike/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 readingOrder="1"/>
    </xf>
    <xf numFmtId="0" fontId="3" fillId="2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 readingOrder="1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 readingOrder="1"/>
    </xf>
    <xf numFmtId="0" fontId="3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 readingOrder="1"/>
    </xf>
    <xf numFmtId="0" fontId="8" fillId="0" borderId="1" xfId="1" applyFont="1" applyBorder="1" applyAlignment="1">
      <alignment horizontal="center" vertical="center" readingOrder="1"/>
    </xf>
    <xf numFmtId="0" fontId="3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</cellXfs>
  <cellStyles count="3">
    <cellStyle name="NiveauLigne_4" xfId="1" builtinId="1" iLevel="3"/>
    <cellStyle name="Normal" xfId="0" builtinId="0"/>
    <cellStyle name="Normal 2" xfId="2" xr:uid="{9E93659E-736B-4370-AE17-C2F6EFDF54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3AAD-33DF-4E5A-A03B-B9F48A3975BF}">
  <dimension ref="A1:D16"/>
  <sheetViews>
    <sheetView view="pageBreakPreview" zoomScale="60" zoomScaleNormal="100" workbookViewId="0">
      <selection activeCell="D12" sqref="D12"/>
    </sheetView>
  </sheetViews>
  <sheetFormatPr baseColWidth="10" defaultRowHeight="30" customHeight="1" x14ac:dyDescent="0.4"/>
  <cols>
    <col min="1" max="1" width="23" style="16" bestFit="1" customWidth="1"/>
    <col min="2" max="2" width="20.88671875" style="16" customWidth="1"/>
    <col min="3" max="3" width="37.21875" style="11" customWidth="1"/>
    <col min="4" max="4" width="45.21875" style="11" customWidth="1"/>
    <col min="5" max="16384" width="11.5546875" style="11"/>
  </cols>
  <sheetData>
    <row r="1" spans="1:4" ht="30" customHeight="1" x14ac:dyDescent="0.4">
      <c r="A1" s="3" t="s">
        <v>156</v>
      </c>
      <c r="B1" s="4" t="s">
        <v>157</v>
      </c>
      <c r="C1" s="5" t="s">
        <v>158</v>
      </c>
      <c r="D1" s="6" t="s">
        <v>1</v>
      </c>
    </row>
    <row r="2" spans="1:4" ht="30" customHeight="1" x14ac:dyDescent="0.4">
      <c r="A2" s="7">
        <v>1</v>
      </c>
      <c r="B2" s="8">
        <v>2</v>
      </c>
      <c r="C2" s="9" t="str">
        <f>_xlfn.XLOOKUP(B2,Liste_Dossards!A:A,Liste_Dossards!B:B,"")</f>
        <v>FRITSH NICOLAS</v>
      </c>
      <c r="D2" s="10" t="str">
        <f>_xlfn.XLOOKUP(C2,Liste_Dossards!B:B,Liste_Dossards!C:C,"")</f>
        <v>UC VOIRONNAISE</v>
      </c>
    </row>
    <row r="3" spans="1:4" ht="30" customHeight="1" x14ac:dyDescent="0.4">
      <c r="A3" s="7">
        <v>2</v>
      </c>
      <c r="B3" s="8">
        <v>1</v>
      </c>
      <c r="C3" s="9" t="str">
        <f>_xlfn.XLOOKUP(B3,Liste_Dossards!A:A,Liste_Dossards!B:B,"")</f>
        <v>CONTI GUILLAUME</v>
      </c>
      <c r="D3" s="10" t="str">
        <f>_xlfn.XLOOKUP(C3,Liste_Dossards!B:B,Liste_Dossards!C:C,"")</f>
        <v>TEAM JALLET AUTO</v>
      </c>
    </row>
    <row r="4" spans="1:4" ht="30" customHeight="1" x14ac:dyDescent="0.4">
      <c r="A4" s="7">
        <v>3</v>
      </c>
      <c r="B4" s="8">
        <v>3</v>
      </c>
      <c r="C4" s="9" t="str">
        <f>_xlfn.XLOOKUP(B4,Liste_Dossards!A:A,Liste_Dossards!B:B,"")</f>
        <v>GAUTHIER--PHILIPPE  ERWIN</v>
      </c>
      <c r="D4" s="10" t="str">
        <f>_xlfn.XLOOKUP(C4,Liste_Dossards!B:B,Liste_Dossards!C:C,"")</f>
        <v>LAC ALIANCE CYCLISTE</v>
      </c>
    </row>
    <row r="5" spans="1:4" ht="30" customHeight="1" x14ac:dyDescent="0.4">
      <c r="A5" s="7">
        <v>4</v>
      </c>
      <c r="B5" s="8">
        <v>10</v>
      </c>
      <c r="C5" s="9" t="str">
        <f>_xlfn.XLOOKUP(B5,Liste_Dossards!A:A,Liste_Dossards!B:B,"")</f>
        <v>VERNEY FREDERIC</v>
      </c>
      <c r="D5" s="10" t="str">
        <f>_xlfn.XLOOKUP(C5,Liste_Dossards!B:B,Liste_Dossards!C:C,"")</f>
        <v>TEAM JALLET AUTO</v>
      </c>
    </row>
    <row r="6" spans="1:4" ht="30" customHeight="1" x14ac:dyDescent="0.4">
      <c r="A6" s="7">
        <v>5</v>
      </c>
      <c r="B6" s="8">
        <v>4</v>
      </c>
      <c r="C6" s="9" t="str">
        <f>_xlfn.XLOOKUP(B6,Liste_Dossards!A:A,Liste_Dossards!B:B,"")</f>
        <v>GIRAUD MATTHIEU</v>
      </c>
      <c r="D6" s="10" t="str">
        <f>_xlfn.XLOOKUP(C6,Liste_Dossards!B:B,Liste_Dossards!C:C,"")</f>
        <v>UC RIVES</v>
      </c>
    </row>
    <row r="7" spans="1:4" ht="30" customHeight="1" x14ac:dyDescent="0.4">
      <c r="A7" s="7">
        <v>6</v>
      </c>
      <c r="B7" s="8">
        <v>11</v>
      </c>
      <c r="C7" s="9" t="str">
        <f>_xlfn.XLOOKUP(B7,Liste_Dossards!A:A,Liste_Dossards!B:B,"")</f>
        <v>WIECZOREK BAPTISTE</v>
      </c>
      <c r="D7" s="10" t="str">
        <f>_xlfn.XLOOKUP(C7,Liste_Dossards!B:B,Liste_Dossards!C:C,"")</f>
        <v>LA TEAM COULEURS SAVOIE</v>
      </c>
    </row>
    <row r="8" spans="1:4" ht="30" customHeight="1" x14ac:dyDescent="0.4">
      <c r="A8" s="7">
        <v>7</v>
      </c>
      <c r="B8" s="8">
        <v>8</v>
      </c>
      <c r="C8" s="9" t="str">
        <f>_xlfn.XLOOKUP(B8,Liste_Dossards!A:A,Liste_Dossards!B:B,"")</f>
        <v>MUNSTERMAN NIELS</v>
      </c>
      <c r="D8" s="10" t="str">
        <f>_xlfn.XLOOKUP(C8,Liste_Dossards!B:B,Liste_Dossards!C:C,"")</f>
        <v>UC PONTCHARRA</v>
      </c>
    </row>
    <row r="9" spans="1:4" ht="30" customHeight="1" x14ac:dyDescent="0.4">
      <c r="A9" s="7">
        <v>8</v>
      </c>
      <c r="B9" s="8">
        <v>12</v>
      </c>
      <c r="C9" s="9" t="str">
        <f>_xlfn.XLOOKUP(B9,Liste_Dossards!A:A,Liste_Dossards!B:B,"")</f>
        <v>CHAMBON</v>
      </c>
      <c r="D9" s="10" t="str">
        <f>_xlfn.XLOOKUP(C9,Liste_Dossards!B:B,Liste_Dossards!C:C,"")</f>
        <v>LA TEAM COULEURS SAVOIE</v>
      </c>
    </row>
    <row r="10" spans="1:4" ht="30" customHeight="1" x14ac:dyDescent="0.4">
      <c r="A10" s="7">
        <v>9</v>
      </c>
      <c r="B10" s="8">
        <v>6</v>
      </c>
      <c r="C10" s="9" t="str">
        <f>_xlfn.XLOOKUP(B10,Liste_Dossards!A:A,Liste_Dossards!B:B,"")</f>
        <v>LAPIERRE NOE</v>
      </c>
      <c r="D10" s="10" t="str">
        <f>_xlfn.XLOOKUP(C10,Liste_Dossards!B:B,Liste_Dossards!C:C,"")</f>
        <v>TEAM 3 MASSIFS</v>
      </c>
    </row>
    <row r="11" spans="1:4" ht="30" customHeight="1" x14ac:dyDescent="0.4">
      <c r="A11" s="7">
        <v>10</v>
      </c>
      <c r="B11" s="8">
        <v>5</v>
      </c>
      <c r="C11" s="9" t="str">
        <f>_xlfn.XLOOKUP(B11,Liste_Dossards!A:A,Liste_Dossards!B:B,"")</f>
        <v>LABORY JEREMY</v>
      </c>
      <c r="D11" s="10" t="s">
        <v>192</v>
      </c>
    </row>
    <row r="12" spans="1:4" ht="30" customHeight="1" x14ac:dyDescent="0.4">
      <c r="A12" s="7">
        <v>11</v>
      </c>
      <c r="B12" s="8">
        <v>7</v>
      </c>
      <c r="C12" s="9" t="str">
        <f>_xlfn.XLOOKUP(B12,Liste_Dossards!A:A,Liste_Dossards!B:B,"")</f>
        <v>MAINGOT ALEXANDRE</v>
      </c>
      <c r="D12" s="10" t="s">
        <v>192</v>
      </c>
    </row>
    <row r="13" spans="1:4" ht="30" customHeight="1" x14ac:dyDescent="0.4">
      <c r="A13" s="7">
        <v>12</v>
      </c>
      <c r="B13" s="8">
        <v>9</v>
      </c>
      <c r="C13" s="9" t="str">
        <f>_xlfn.XLOOKUP(B13,Liste_Dossards!A:A,Liste_Dossards!B:B,"")</f>
        <v>PERES PIERRE</v>
      </c>
      <c r="D13" s="10" t="s">
        <v>192</v>
      </c>
    </row>
    <row r="14" spans="1:4" ht="30" customHeight="1" x14ac:dyDescent="0.4">
      <c r="A14" s="7">
        <v>13</v>
      </c>
      <c r="B14" s="8"/>
      <c r="C14" s="9">
        <f>_xlfn.XLOOKUP(B14,Liste_Dossards!A:A,Liste_Dossards!B:B,"")</f>
        <v>0</v>
      </c>
      <c r="D14" s="10" t="str">
        <f>_xlfn.XLOOKUP(C14,Liste_Dossards!B:B,Liste_Dossards!C:C,"")</f>
        <v/>
      </c>
    </row>
    <row r="15" spans="1:4" ht="30" customHeight="1" x14ac:dyDescent="0.4">
      <c r="A15" s="7">
        <v>14</v>
      </c>
      <c r="B15" s="8"/>
      <c r="C15" s="9">
        <f>_xlfn.XLOOKUP(B15,Liste_Dossards!A:A,Liste_Dossards!B:B,"")</f>
        <v>0</v>
      </c>
      <c r="D15" s="10" t="str">
        <f>_xlfn.XLOOKUP(C15,Liste_Dossards!B:B,Liste_Dossards!C:C,"")</f>
        <v/>
      </c>
    </row>
    <row r="16" spans="1:4" ht="30" customHeight="1" thickBot="1" x14ac:dyDescent="0.45">
      <c r="A16" s="12">
        <v>15</v>
      </c>
      <c r="B16" s="13"/>
      <c r="C16" s="14">
        <f>_xlfn.XLOOKUP(B16,Liste_Dossards!A:A,Liste_Dossards!B:B,"")</f>
        <v>0</v>
      </c>
      <c r="D16" s="15" t="str">
        <f>_xlfn.XLOOKUP(C16,Liste_Dossards!B:B,Liste_Dossards!C:C,"")</f>
        <v/>
      </c>
    </row>
  </sheetData>
  <pageMargins left="0.7" right="0.7" top="0.75" bottom="0.75" header="0.3" footer="0.3"/>
  <pageSetup paperSize="9"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F6CA-A86C-4B58-899D-E07868D8494D}">
  <dimension ref="A1:D21"/>
  <sheetViews>
    <sheetView view="pageBreakPreview" zoomScale="60" zoomScaleNormal="100" workbookViewId="0">
      <selection activeCell="E10" sqref="E10"/>
    </sheetView>
  </sheetViews>
  <sheetFormatPr baseColWidth="10" defaultColWidth="37.88671875" defaultRowHeight="30" customHeight="1" x14ac:dyDescent="0.4"/>
  <cols>
    <col min="1" max="1" width="23" style="16" bestFit="1" customWidth="1"/>
    <col min="2" max="2" width="18.44140625" style="16" bestFit="1" customWidth="1"/>
    <col min="3" max="16384" width="37.88671875" style="11"/>
  </cols>
  <sheetData>
    <row r="1" spans="1:4" ht="30" customHeight="1" x14ac:dyDescent="0.4">
      <c r="A1" s="3" t="s">
        <v>159</v>
      </c>
      <c r="B1" s="4" t="s">
        <v>157</v>
      </c>
      <c r="C1" s="5" t="s">
        <v>158</v>
      </c>
      <c r="D1" s="6" t="s">
        <v>1</v>
      </c>
    </row>
    <row r="2" spans="1:4" ht="30" customHeight="1" x14ac:dyDescent="0.4">
      <c r="A2" s="7">
        <v>1</v>
      </c>
      <c r="B2" s="8">
        <v>19</v>
      </c>
      <c r="C2" s="9" t="str">
        <f>_xlfn.XLOOKUP(B2,Liste_Dossards!A:A,Liste_Dossards!B:B,"")</f>
        <v>COGNE SEBASTIEN</v>
      </c>
      <c r="D2" s="10">
        <f>_xlfn.XLOOKUP(C2,Liste_Dossards!B:B,Liste_Dossards!C:C,"")</f>
        <v>0</v>
      </c>
    </row>
    <row r="3" spans="1:4" ht="30" customHeight="1" x14ac:dyDescent="0.4">
      <c r="A3" s="7">
        <v>2</v>
      </c>
      <c r="B3" s="8">
        <v>34</v>
      </c>
      <c r="C3" s="9" t="str">
        <f>_xlfn.XLOOKUP(B3,Liste_Dossards!A:A,Liste_Dossards!B:B,"")</f>
        <v>SOURIMANT NICOLAS</v>
      </c>
      <c r="D3" s="10" t="str">
        <f>_xlfn.XLOOKUP(C3,Liste_Dossards!B:B,Liste_Dossards!C:C,"")</f>
        <v>LE FONTANIL CYCLISME</v>
      </c>
    </row>
    <row r="4" spans="1:4" ht="30" customHeight="1" x14ac:dyDescent="0.4">
      <c r="A4" s="7">
        <v>3</v>
      </c>
      <c r="B4" s="8">
        <v>33</v>
      </c>
      <c r="C4" s="9" t="str">
        <f>_xlfn.XLOOKUP(B4,Liste_Dossards!A:A,Liste_Dossards!B:B,"")</f>
        <v>SANTALUCIA UGO</v>
      </c>
      <c r="D4" s="10" t="str">
        <f>_xlfn.XLOOKUP(C4,Liste_Dossards!B:B,Liste_Dossards!C:C,"")</f>
        <v>TEAM 3 MASSIFS</v>
      </c>
    </row>
    <row r="5" spans="1:4" ht="30" customHeight="1" x14ac:dyDescent="0.4">
      <c r="A5" s="7">
        <v>4</v>
      </c>
      <c r="B5" s="8">
        <v>26</v>
      </c>
      <c r="C5" s="9" t="str">
        <f>_xlfn.XLOOKUP(B5,Liste_Dossards!A:A,Liste_Dossards!B:B,"")</f>
        <v>MAT CAMILLE</v>
      </c>
      <c r="D5" s="10" t="str">
        <f>_xlfn.XLOOKUP(C5,Liste_Dossards!B:B,Liste_Dossards!C:C,"")</f>
        <v>TEAM JALLET AUTO</v>
      </c>
    </row>
    <row r="6" spans="1:4" ht="30" customHeight="1" x14ac:dyDescent="0.4">
      <c r="A6" s="7">
        <v>5</v>
      </c>
      <c r="B6" s="8">
        <v>15</v>
      </c>
      <c r="C6" s="9" t="str">
        <f>_xlfn.XLOOKUP(B6,Liste_Dossards!A:A,Liste_Dossards!B:B,"")</f>
        <v>BOISSY GUENAL</v>
      </c>
      <c r="D6" s="10" t="str">
        <f>_xlfn.XLOOKUP(C6,Liste_Dossards!B:B,Liste_Dossards!C:C,"")</f>
        <v>UNION CYCLISTE VOIRONNAISE</v>
      </c>
    </row>
    <row r="7" spans="1:4" ht="30" customHeight="1" x14ac:dyDescent="0.4">
      <c r="A7" s="7">
        <v>6</v>
      </c>
      <c r="B7" s="8">
        <v>18</v>
      </c>
      <c r="C7" s="9" t="str">
        <f>_xlfn.XLOOKUP(B7,Liste_Dossards!A:A,Liste_Dossards!B:B,"")</f>
        <v>CLEMENT JUST</v>
      </c>
      <c r="D7" s="10" t="str">
        <f>_xlfn.XLOOKUP(C7,Liste_Dossards!B:B,Liste_Dossards!C:C,"")</f>
        <v>TEAM 3 MASSIFS</v>
      </c>
    </row>
    <row r="8" spans="1:4" ht="30" customHeight="1" x14ac:dyDescent="0.4">
      <c r="A8" s="7">
        <v>7</v>
      </c>
      <c r="B8" s="8">
        <v>16</v>
      </c>
      <c r="C8" s="9" t="str">
        <f>_xlfn.XLOOKUP(B8,Liste_Dossards!A:A,Liste_Dossards!B:B,"")</f>
        <v>BOUVIER THOMAS</v>
      </c>
      <c r="D8" s="10" t="str">
        <f>_xlfn.XLOOKUP(C8,Liste_Dossards!B:B,Liste_Dossards!C:C,"")</f>
        <v>UNION CYCLISTE DE PONTCHARRA GRESIVAUDAN</v>
      </c>
    </row>
    <row r="9" spans="1:4" ht="30" customHeight="1" x14ac:dyDescent="0.4">
      <c r="A9" s="7">
        <v>8</v>
      </c>
      <c r="B9" s="8">
        <v>23</v>
      </c>
      <c r="C9" s="9" t="str">
        <f>_xlfn.XLOOKUP(B9,Liste_Dossards!A:A,Liste_Dossards!B:B,"")</f>
        <v>JALLET WILLIAM</v>
      </c>
      <c r="D9" s="10" t="str">
        <f>_xlfn.XLOOKUP(C9,Liste_Dossards!B:B,Liste_Dossards!C:C,"")</f>
        <v>TEAM JALLET AUTO</v>
      </c>
    </row>
    <row r="10" spans="1:4" ht="30" customHeight="1" x14ac:dyDescent="0.4">
      <c r="A10" s="7">
        <v>9</v>
      </c>
      <c r="B10" s="8">
        <v>17</v>
      </c>
      <c r="C10" s="9" t="str">
        <f>_xlfn.XLOOKUP(B10,Liste_Dossards!A:A,Liste_Dossards!B:B,"")</f>
        <v>CHERY Paul</v>
      </c>
      <c r="D10" s="10" t="str">
        <f>_xlfn.XLOOKUP(C10,Liste_Dossards!B:B,Liste_Dossards!C:C,"")</f>
        <v>LE FONTANIL CYCLISME</v>
      </c>
    </row>
    <row r="11" spans="1:4" ht="30" customHeight="1" x14ac:dyDescent="0.4">
      <c r="A11" s="7">
        <v>10</v>
      </c>
      <c r="B11" s="8">
        <v>21</v>
      </c>
      <c r="C11" s="9" t="str">
        <f>_xlfn.XLOOKUP(B11,Liste_Dossards!A:A,Liste_Dossards!B:B,"")</f>
        <v>DELETROY AXEL</v>
      </c>
      <c r="D11" s="10" t="str">
        <f>_xlfn.XLOOKUP(C11,Liste_Dossards!B:B,Liste_Dossards!C:C,"")</f>
        <v>LE FONTANIL CYCLISME</v>
      </c>
    </row>
    <row r="12" spans="1:4" ht="30" customHeight="1" x14ac:dyDescent="0.4">
      <c r="A12" s="7">
        <v>11</v>
      </c>
      <c r="B12" s="8">
        <v>20</v>
      </c>
      <c r="C12" s="9" t="str">
        <f>_xlfn.XLOOKUP(B12,Liste_Dossards!A:A,Liste_Dossards!B:B,"")</f>
        <v>COLLETTE MAXIME</v>
      </c>
      <c r="D12" s="10" t="str">
        <f>_xlfn.XLOOKUP(C12,Liste_Dossards!B:B,Liste_Dossards!C:C,"")</f>
        <v>TEAM 3 MASSIFS</v>
      </c>
    </row>
    <row r="13" spans="1:4" ht="30" customHeight="1" x14ac:dyDescent="0.4">
      <c r="A13" s="7">
        <v>12</v>
      </c>
      <c r="B13" s="8">
        <v>27</v>
      </c>
      <c r="C13" s="9" t="str">
        <f>_xlfn.XLOOKUP(B13,Liste_Dossards!A:A,Liste_Dossards!B:B,"")</f>
        <v>MERLO RAPHAEL</v>
      </c>
      <c r="D13" s="10" t="str">
        <f>_xlfn.XLOOKUP(C13,Liste_Dossards!B:B,Liste_Dossards!C:C,"")</f>
        <v>TEAM 3 MASSIFS</v>
      </c>
    </row>
    <row r="14" spans="1:4" ht="30" customHeight="1" x14ac:dyDescent="0.4">
      <c r="A14" s="7">
        <v>13</v>
      </c>
      <c r="B14" s="8">
        <v>28</v>
      </c>
      <c r="C14" s="9" t="str">
        <f>_xlfn.XLOOKUP(B14,Liste_Dossards!A:A,Liste_Dossards!B:B,"")</f>
        <v>MONGE NICOLAS</v>
      </c>
      <c r="D14" s="10" t="str">
        <f>_xlfn.XLOOKUP(C14,Liste_Dossards!B:B,Liste_Dossards!C:C,"")</f>
        <v>LE FONTANIL CYCLISME</v>
      </c>
    </row>
    <row r="15" spans="1:4" ht="30" customHeight="1" x14ac:dyDescent="0.4">
      <c r="A15" s="7">
        <v>14</v>
      </c>
      <c r="B15" s="8">
        <v>32</v>
      </c>
      <c r="C15" s="9" t="str">
        <f>_xlfn.XLOOKUP(B15,Liste_Dossards!A:A,Liste_Dossards!B:B,"")</f>
        <v>RIPPERT VALENTIN</v>
      </c>
      <c r="D15" s="10" t="str">
        <f>_xlfn.XLOOKUP(C15,Liste_Dossards!B:B,Liste_Dossards!C:C,"")</f>
        <v>UNION CYCLISTE DE PONTCHARRA GRESIVAUDAN</v>
      </c>
    </row>
    <row r="16" spans="1:4" ht="30" customHeight="1" x14ac:dyDescent="0.4">
      <c r="A16" s="7">
        <v>15</v>
      </c>
      <c r="B16" s="17">
        <v>22</v>
      </c>
      <c r="C16" s="9" t="str">
        <f>_xlfn.XLOOKUP(B16,Liste_Dossards!A:A,Liste_Dossards!B:B,"")</f>
        <v>DOLLION MARGO</v>
      </c>
      <c r="D16" s="10" t="str">
        <f>_xlfn.XLOOKUP(C16,Liste_Dossards!B:B,Liste_Dossards!C:C,"")</f>
        <v>TEAM ELLES</v>
      </c>
    </row>
    <row r="17" spans="1:4" ht="30" customHeight="1" x14ac:dyDescent="0.4">
      <c r="A17" s="7">
        <v>16</v>
      </c>
      <c r="B17" s="17">
        <v>14</v>
      </c>
      <c r="C17" s="9" t="str">
        <f>_xlfn.XLOOKUP(B17,Liste_Dossards!A:A,Liste_Dossards!B:B,"")</f>
        <v>BESCOND DIDIER</v>
      </c>
      <c r="D17" s="10" t="str">
        <f>_xlfn.XLOOKUP(C17,Liste_Dossards!B:B,Liste_Dossards!C:C,"")</f>
        <v>JARRIE CHAMP SUR DRAC CYCLISME</v>
      </c>
    </row>
    <row r="18" spans="1:4" ht="30" customHeight="1" x14ac:dyDescent="0.4">
      <c r="A18" s="7">
        <v>17</v>
      </c>
      <c r="B18" s="17">
        <v>31</v>
      </c>
      <c r="C18" s="9" t="str">
        <f>_xlfn.XLOOKUP(B18,Liste_Dossards!A:A,Liste_Dossards!B:B,"")</f>
        <v>PINTUS EMMANUEL</v>
      </c>
      <c r="D18" s="10" t="str">
        <f>_xlfn.XLOOKUP(C18,Liste_Dossards!B:B,Liste_Dossards!C:C,"")</f>
        <v>UNION CYCLISTE DE PONTCHARRA GRESIVAUDAN</v>
      </c>
    </row>
    <row r="19" spans="1:4" ht="30" customHeight="1" x14ac:dyDescent="0.4">
      <c r="A19" s="7">
        <v>18</v>
      </c>
      <c r="B19" s="17"/>
      <c r="C19" s="9">
        <f>_xlfn.XLOOKUP(B19,Liste_Dossards!A:A,Liste_Dossards!B:B,"")</f>
        <v>0</v>
      </c>
      <c r="D19" s="10" t="str">
        <f>_xlfn.XLOOKUP(C19,Liste_Dossards!B:B,Liste_Dossards!C:C,"")</f>
        <v/>
      </c>
    </row>
    <row r="20" spans="1:4" ht="30" customHeight="1" x14ac:dyDescent="0.4">
      <c r="A20" s="7">
        <v>19</v>
      </c>
      <c r="B20" s="17"/>
      <c r="C20" s="9">
        <f>_xlfn.XLOOKUP(B20,Liste_Dossards!A:A,Liste_Dossards!B:B,"")</f>
        <v>0</v>
      </c>
      <c r="D20" s="10" t="str">
        <f>_xlfn.XLOOKUP(C20,Liste_Dossards!B:B,Liste_Dossards!C:C,"")</f>
        <v/>
      </c>
    </row>
    <row r="21" spans="1:4" ht="30" customHeight="1" thickBot="1" x14ac:dyDescent="0.45">
      <c r="A21" s="12">
        <v>20</v>
      </c>
      <c r="B21" s="13"/>
      <c r="C21" s="14">
        <f>_xlfn.XLOOKUP(B21,Liste_Dossards!A:A,Liste_Dossards!B:B,"")</f>
        <v>0</v>
      </c>
      <c r="D21" s="15" t="str">
        <f>_xlfn.XLOOKUP(C21,Liste_Dossards!B:B,Liste_Dossards!C:C,"")</f>
        <v/>
      </c>
    </row>
  </sheetData>
  <pageMargins left="0.7" right="0.7" top="0.75" bottom="0.75" header="0.3" footer="0.3"/>
  <pageSetup paperSize="9"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82A6-08CA-4962-9591-C1302D57D705}">
  <dimension ref="A1:D33"/>
  <sheetViews>
    <sheetView tabSelected="1" view="pageBreakPreview" zoomScale="60" zoomScaleNormal="100" workbookViewId="0">
      <selection activeCell="D24" sqref="D24"/>
    </sheetView>
  </sheetViews>
  <sheetFormatPr baseColWidth="10" defaultColWidth="39.88671875" defaultRowHeight="30" customHeight="1" x14ac:dyDescent="0.4"/>
  <cols>
    <col min="1" max="1" width="23" style="16" bestFit="1" customWidth="1"/>
    <col min="2" max="2" width="18.44140625" style="16" bestFit="1" customWidth="1"/>
    <col min="3" max="3" width="39.88671875" style="11"/>
    <col min="4" max="4" width="63" style="11" bestFit="1" customWidth="1"/>
    <col min="5" max="16384" width="39.88671875" style="11"/>
  </cols>
  <sheetData>
    <row r="1" spans="1:4" ht="30" customHeight="1" x14ac:dyDescent="0.4">
      <c r="A1" s="3" t="s">
        <v>160</v>
      </c>
      <c r="B1" s="4" t="s">
        <v>157</v>
      </c>
      <c r="C1" s="5" t="s">
        <v>158</v>
      </c>
      <c r="D1" s="6" t="s">
        <v>1</v>
      </c>
    </row>
    <row r="2" spans="1:4" ht="30" customHeight="1" x14ac:dyDescent="0.4">
      <c r="A2" s="7">
        <v>1</v>
      </c>
      <c r="B2" s="8">
        <v>63</v>
      </c>
      <c r="C2" s="9" t="str">
        <f>_xlfn.XLOOKUP(B2,Liste_Dossards!A:A,Liste_Dossards!B:B,"")</f>
        <v>PENEL STEPHANE</v>
      </c>
      <c r="D2" s="10" t="str">
        <f>_xlfn.XLOOKUP(C2,Liste_Dossards!B:B,Liste_Dossards!C:C,"")</f>
        <v>VTT CHARTREUSE</v>
      </c>
    </row>
    <row r="3" spans="1:4" ht="30" customHeight="1" x14ac:dyDescent="0.4">
      <c r="A3" s="7">
        <v>2</v>
      </c>
      <c r="B3" s="8">
        <v>52</v>
      </c>
      <c r="C3" s="9" t="str">
        <f>_xlfn.XLOOKUP(B3,Liste_Dossards!A:A,Liste_Dossards!B:B,"")</f>
        <v>GATEAUX Damien</v>
      </c>
      <c r="D3" s="10" t="str">
        <f>_xlfn.XLOOKUP(C3,Liste_Dossards!B:B,Liste_Dossards!C:C,"")</f>
        <v>JARRIE CHAMP SUR DRAC CYCLISME</v>
      </c>
    </row>
    <row r="4" spans="1:4" ht="30" customHeight="1" x14ac:dyDescent="0.4">
      <c r="A4" s="7">
        <v>3</v>
      </c>
      <c r="B4" s="8">
        <v>46</v>
      </c>
      <c r="C4" s="9" t="str">
        <f>_xlfn.XLOOKUP(B4,Liste_Dossards!A:A,Liste_Dossards!B:B,"")</f>
        <v>CARTIER STEPHANE</v>
      </c>
      <c r="D4" s="10" t="str">
        <f>_xlfn.XLOOKUP(C4,Liste_Dossards!B:B,Liste_Dossards!C:C,"")</f>
        <v>JARRIE CHAMP SUR DRAC CYCLISME</v>
      </c>
    </row>
    <row r="5" spans="1:4" ht="30" customHeight="1" x14ac:dyDescent="0.4">
      <c r="A5" s="7">
        <v>4</v>
      </c>
      <c r="B5" s="8">
        <v>61</v>
      </c>
      <c r="C5" s="9" t="str">
        <f>_xlfn.XLOOKUP(B5,Liste_Dossards!A:A,Liste_Dossards!B:B,"")</f>
        <v>PARROT YVES</v>
      </c>
      <c r="D5" s="10" t="str">
        <f>_xlfn.XLOOKUP(C5,Liste_Dossards!B:B,Liste_Dossards!C:C,"")</f>
        <v>UNION CYCLISTE VOIRONNAISE</v>
      </c>
    </row>
    <row r="6" spans="1:4" ht="30" customHeight="1" x14ac:dyDescent="0.4">
      <c r="A6" s="7">
        <v>5</v>
      </c>
      <c r="B6" s="8">
        <v>60</v>
      </c>
      <c r="C6" s="9" t="str">
        <f>_xlfn.XLOOKUP(B6,Liste_Dossards!A:A,Liste_Dossards!B:B,"")</f>
        <v>PAQUET DOMINIQUE</v>
      </c>
      <c r="D6" s="10" t="str">
        <f>_xlfn.XLOOKUP(C6,Liste_Dossards!B:B,Liste_Dossards!C:C,"")</f>
        <v>RIVES UNION CYCLISTE</v>
      </c>
    </row>
    <row r="7" spans="1:4" ht="30" customHeight="1" x14ac:dyDescent="0.4">
      <c r="A7" s="7">
        <v>6</v>
      </c>
      <c r="B7" s="8">
        <v>56</v>
      </c>
      <c r="C7" s="9" t="str">
        <f>_xlfn.XLOOKUP(B7,Liste_Dossards!A:A,Liste_Dossards!B:B,"")</f>
        <v>LANDA MATTHIEU</v>
      </c>
      <c r="D7" s="10" t="str">
        <f>_xlfn.XLOOKUP(C7,Liste_Dossards!B:B,Liste_Dossards!C:C,"")</f>
        <v>LA TEAM COULEURS SAVOIE</v>
      </c>
    </row>
    <row r="8" spans="1:4" ht="30" customHeight="1" x14ac:dyDescent="0.4">
      <c r="A8" s="7">
        <v>7</v>
      </c>
      <c r="B8" s="8">
        <v>53</v>
      </c>
      <c r="C8" s="9" t="str">
        <f>_xlfn.XLOOKUP(B8,Liste_Dossards!A:A,Liste_Dossards!B:B,"")</f>
        <v>GIANNONE JOSEPH</v>
      </c>
      <c r="D8" s="10" t="str">
        <f>_xlfn.XLOOKUP(C8,Liste_Dossards!B:B,Liste_Dossards!C:C,"")</f>
        <v>UNION CYCLISTE VOIRONNAISE</v>
      </c>
    </row>
    <row r="9" spans="1:4" ht="30" customHeight="1" x14ac:dyDescent="0.4">
      <c r="A9" s="7">
        <v>8</v>
      </c>
      <c r="B9" s="8">
        <v>67</v>
      </c>
      <c r="C9" s="9" t="str">
        <f>_xlfn.XLOOKUP(B9,Liste_Dossards!A:A,Liste_Dossards!B:B,"")</f>
        <v>SEVOZ ARNAUD</v>
      </c>
      <c r="D9" s="10" t="str">
        <f>_xlfn.XLOOKUP(C9,Liste_Dossards!B:B,Liste_Dossards!C:C,"")</f>
        <v>UNION CYCLISTE VOIRONNAISE</v>
      </c>
    </row>
    <row r="10" spans="1:4" ht="30" customHeight="1" x14ac:dyDescent="0.4">
      <c r="A10" s="7">
        <v>9</v>
      </c>
      <c r="B10" s="8">
        <v>51</v>
      </c>
      <c r="C10" s="9" t="str">
        <f>_xlfn.XLOOKUP(B10,Liste_Dossards!A:A,Liste_Dossards!B:B,"")</f>
        <v>DUCOL GILLES</v>
      </c>
      <c r="D10" s="10" t="str">
        <f>_xlfn.XLOOKUP(C10,Liste_Dossards!B:B,Liste_Dossards!C:C,"")</f>
        <v>LA MOTTE SERVOLEX CYCLISME</v>
      </c>
    </row>
    <row r="11" spans="1:4" ht="30" customHeight="1" x14ac:dyDescent="0.4">
      <c r="A11" s="7">
        <v>10</v>
      </c>
      <c r="B11" s="8">
        <v>64</v>
      </c>
      <c r="C11" s="9" t="str">
        <f>_xlfn.XLOOKUP(B11,Liste_Dossards!A:A,Liste_Dossards!B:B,"")</f>
        <v>POMMIER NICOLAS</v>
      </c>
      <c r="D11" s="10" t="str">
        <f>_xlfn.XLOOKUP(C11,Liste_Dossards!B:B,Liste_Dossards!C:C,"")</f>
        <v>LE FONTANIL CYCLISME</v>
      </c>
    </row>
    <row r="12" spans="1:4" ht="30" customHeight="1" x14ac:dyDescent="0.4">
      <c r="A12" s="7">
        <v>11</v>
      </c>
      <c r="B12" s="8">
        <v>47</v>
      </c>
      <c r="C12" s="9" t="str">
        <f>_xlfn.XLOOKUP(B12,Liste_Dossards!A:A,Liste_Dossards!B:B,"")</f>
        <v>CHAUMONT COLIN</v>
      </c>
      <c r="D12" s="10" t="str">
        <f>_xlfn.XLOOKUP(C12,Liste_Dossards!B:B,Liste_Dossards!C:C,"")</f>
        <v>JARRIE CHAMP SUR DRAC CYCLISME</v>
      </c>
    </row>
    <row r="13" spans="1:4" ht="30" customHeight="1" x14ac:dyDescent="0.4">
      <c r="A13" s="7">
        <v>12</v>
      </c>
      <c r="B13" s="8">
        <v>43</v>
      </c>
      <c r="C13" s="9" t="str">
        <f>_xlfn.XLOOKUP(B13,Liste_Dossards!A:A,Liste_Dossards!B:B,"")</f>
        <v>BONNEFILLE ROMAIN</v>
      </c>
      <c r="D13" s="10" t="str">
        <f>_xlfn.XLOOKUP(C13,Liste_Dossards!B:B,Liste_Dossards!C:C,"")</f>
        <v>TEAM 3 MASSIFS</v>
      </c>
    </row>
    <row r="14" spans="1:4" ht="30" customHeight="1" x14ac:dyDescent="0.4">
      <c r="A14" s="7">
        <v>13</v>
      </c>
      <c r="B14" s="8">
        <v>68</v>
      </c>
      <c r="C14" s="9" t="str">
        <f>_xlfn.XLOOKUP(B14,Liste_Dossards!A:A,Liste_Dossards!B:B,"")</f>
        <v>THEVENET PIERRICK</v>
      </c>
      <c r="D14" s="10" t="str">
        <f>_xlfn.XLOOKUP(C14,Liste_Dossards!B:B,Liste_Dossards!C:C,"")</f>
        <v>TEAM 3 MASSIFS</v>
      </c>
    </row>
    <row r="15" spans="1:4" ht="30" customHeight="1" x14ac:dyDescent="0.4">
      <c r="A15" s="7">
        <v>14</v>
      </c>
      <c r="B15" s="8">
        <v>50</v>
      </c>
      <c r="C15" s="9" t="str">
        <f>_xlfn.XLOOKUP(B15,Liste_Dossards!A:A,Liste_Dossards!B:B,"")</f>
        <v>DORCE-MICHEL STEVENSON</v>
      </c>
      <c r="D15" s="10" t="str">
        <f>_xlfn.XLOOKUP(C15,Liste_Dossards!B:B,Liste_Dossards!C:C,"")</f>
        <v>TEAM 3 MASSIFS</v>
      </c>
    </row>
    <row r="16" spans="1:4" ht="30" customHeight="1" x14ac:dyDescent="0.4">
      <c r="A16" s="7">
        <v>15</v>
      </c>
      <c r="B16" s="8">
        <v>49</v>
      </c>
      <c r="C16" s="9" t="str">
        <f>_xlfn.XLOOKUP(B16,Liste_Dossards!A:A,Liste_Dossards!B:B,"")</f>
        <v>DEBUCK LAURENT</v>
      </c>
      <c r="D16" s="10" t="str">
        <f>_xlfn.XLOOKUP(C16,Liste_Dossards!B:B,Liste_Dossards!C:C,"")</f>
        <v>UNION CYCLISTE DE PONTCHARRA GRESIVAUDAN</v>
      </c>
    </row>
    <row r="17" spans="1:4" ht="30" customHeight="1" x14ac:dyDescent="0.4">
      <c r="A17" s="7">
        <v>16</v>
      </c>
      <c r="B17" s="8">
        <v>65</v>
      </c>
      <c r="C17" s="9" t="str">
        <f>_xlfn.XLOOKUP(B17,Liste_Dossards!A:A,Liste_Dossards!B:B,"")</f>
        <v>SAINTHUILE TRISTAN</v>
      </c>
      <c r="D17" s="10" t="str">
        <f>_xlfn.XLOOKUP(C17,Liste_Dossards!B:B,Liste_Dossards!C:C,"")</f>
        <v>TEAM 3 MASSIFS</v>
      </c>
    </row>
    <row r="18" spans="1:4" ht="30" customHeight="1" x14ac:dyDescent="0.4">
      <c r="A18" s="7">
        <v>17</v>
      </c>
      <c r="B18" s="8">
        <v>55</v>
      </c>
      <c r="C18" s="9" t="str">
        <f>_xlfn.XLOOKUP(B18,Liste_Dossards!A:A,Liste_Dossards!B:B,"")</f>
        <v>KAIFFER NICOLAS</v>
      </c>
      <c r="D18" s="10" t="str">
        <f>_xlfn.XLOOKUP(C18,Liste_Dossards!B:B,Liste_Dossards!C:C,"")</f>
        <v>UNION CYCLISTE DE PONTCHARRA GRESIVAUDAN</v>
      </c>
    </row>
    <row r="19" spans="1:4" ht="30" customHeight="1" x14ac:dyDescent="0.4">
      <c r="A19" s="7">
        <v>18</v>
      </c>
      <c r="B19" s="8">
        <v>59</v>
      </c>
      <c r="C19" s="9" t="str">
        <f>_xlfn.XLOOKUP(B19,Liste_Dossards!A:A,Liste_Dossards!B:B,"")</f>
        <v>NORAZ FLORENT</v>
      </c>
      <c r="D19" s="10" t="str">
        <f>_xlfn.XLOOKUP(C19,Liste_Dossards!B:B,Liste_Dossards!C:C,"")</f>
        <v>UNION CYCLISTE VOIRONNAISE</v>
      </c>
    </row>
    <row r="20" spans="1:4" ht="30" customHeight="1" x14ac:dyDescent="0.4">
      <c r="A20" s="7">
        <v>19</v>
      </c>
      <c r="B20" s="8">
        <v>48</v>
      </c>
      <c r="C20" s="9" t="str">
        <f>_xlfn.XLOOKUP(B20,Liste_Dossards!A:A,Liste_Dossards!B:B,"")</f>
        <v>D'ASCOLI JEAN-PIERRE</v>
      </c>
      <c r="D20" s="10" t="str">
        <f>_xlfn.XLOOKUP(C20,Liste_Dossards!B:B,Liste_Dossards!C:C,"")</f>
        <v>CYCLO CLUB DE GIERES</v>
      </c>
    </row>
    <row r="21" spans="1:4" ht="30" customHeight="1" x14ac:dyDescent="0.4">
      <c r="A21" s="7">
        <v>20</v>
      </c>
      <c r="B21" s="8">
        <v>69</v>
      </c>
      <c r="C21" s="9" t="str">
        <f>_xlfn.XLOOKUP(B21,Liste_Dossards!A:A,Liste_Dossards!B:B,"")</f>
        <v>TOFFANIN Alexis</v>
      </c>
      <c r="D21" s="10" t="str">
        <f>_xlfn.XLOOKUP(C21,Liste_Dossards!B:B,Liste_Dossards!C:C,"")</f>
        <v>JARRIE CHAMP SUR DRAC CYCLISME</v>
      </c>
    </row>
    <row r="22" spans="1:4" ht="30" customHeight="1" x14ac:dyDescent="0.4">
      <c r="A22" s="7">
        <v>21</v>
      </c>
      <c r="B22" s="8">
        <v>58</v>
      </c>
      <c r="C22" s="9" t="str">
        <f>_xlfn.XLOOKUP(B22,Liste_Dossards!A:A,Liste_Dossards!B:B,"")</f>
        <v>MICAS TITOUAN</v>
      </c>
      <c r="D22" s="10" t="str">
        <f>_xlfn.XLOOKUP(C22,Liste_Dossards!B:B,Liste_Dossards!C:C,"")</f>
        <v>CYCLO CLUB DE GIERES</v>
      </c>
    </row>
    <row r="23" spans="1:4" ht="30" customHeight="1" x14ac:dyDescent="0.4">
      <c r="A23" s="7">
        <v>22</v>
      </c>
      <c r="B23" s="8">
        <v>54</v>
      </c>
      <c r="C23" s="9" t="str">
        <f>_xlfn.XLOOKUP(B23,Liste_Dossards!A:A,Liste_Dossards!B:B,"")</f>
        <v>HAGE BENOIT</v>
      </c>
      <c r="D23" s="10" t="str">
        <f>_xlfn.XLOOKUP(C23,Liste_Dossards!B:B,Liste_Dossards!C:C,"")</f>
        <v>UNION CYCLISTE VOIRONNAISE</v>
      </c>
    </row>
    <row r="24" spans="1:4" ht="30" customHeight="1" x14ac:dyDescent="0.4">
      <c r="A24" s="7">
        <v>23</v>
      </c>
      <c r="B24" s="8">
        <v>44</v>
      </c>
      <c r="C24" s="9" t="str">
        <f>_xlfn.XLOOKUP(B24,Liste_Dossards!A:A,Liste_Dossards!B:B,"")</f>
        <v>BROCHET XAVIER</v>
      </c>
      <c r="D24" s="10" t="str">
        <f>_xlfn.XLOOKUP(C24,Liste_Dossards!B:B,Liste_Dossards!C:C,"")</f>
        <v>UNION CYCLISTE DE PONTCHARRA GRESIVAUDAN</v>
      </c>
    </row>
    <row r="25" spans="1:4" ht="30" customHeight="1" x14ac:dyDescent="0.4">
      <c r="A25" s="7">
        <v>24</v>
      </c>
      <c r="B25" s="8">
        <v>66</v>
      </c>
      <c r="C25" s="9" t="str">
        <f>_xlfn.XLOOKUP(B25,Liste_Dossards!A:A,Liste_Dossards!B:B,"")</f>
        <v>SCISCIOLI LEONARD</v>
      </c>
      <c r="D25" s="10" t="str">
        <f>_xlfn.XLOOKUP(C25,Liste_Dossards!B:B,Liste_Dossards!C:C,"")</f>
        <v>SUD GRESIVAUDAN CYCLISME</v>
      </c>
    </row>
    <row r="26" spans="1:4" ht="30" customHeight="1" x14ac:dyDescent="0.4">
      <c r="A26" s="7">
        <v>25</v>
      </c>
      <c r="B26" s="8">
        <v>62</v>
      </c>
      <c r="C26" s="9" t="str">
        <f>_xlfn.XLOOKUP(B26,Liste_Dossards!A:A,Liste_Dossards!B:B,"")</f>
        <v>PATRICELLI ARMAND</v>
      </c>
      <c r="D26" s="10" t="str">
        <f>_xlfn.XLOOKUP(C26,Liste_Dossards!B:B,Liste_Dossards!C:C,"")</f>
        <v>CYCLO CLUB DE GIERES</v>
      </c>
    </row>
    <row r="27" spans="1:4" ht="30" customHeight="1" x14ac:dyDescent="0.4">
      <c r="A27" s="7">
        <v>26</v>
      </c>
      <c r="B27" s="8">
        <v>41</v>
      </c>
      <c r="C27" s="9" t="str">
        <f>_xlfn.XLOOKUP(B27,Liste_Dossards!A:A,Liste_Dossards!B:B,"")</f>
        <v>ALESSANDRI DAMIEN</v>
      </c>
      <c r="D27" s="10" t="str">
        <f>_xlfn.XLOOKUP(C27,Liste_Dossards!B:B,Liste_Dossards!C:C,"")</f>
        <v>TEAM 3 MASSIFS</v>
      </c>
    </row>
    <row r="28" spans="1:4" ht="30" customHeight="1" x14ac:dyDescent="0.4">
      <c r="A28" s="7">
        <v>27</v>
      </c>
      <c r="B28" s="8">
        <v>45</v>
      </c>
      <c r="C28" s="9" t="str">
        <f>_xlfn.XLOOKUP(B28,Liste_Dossards!A:A,Liste_Dossards!B:B,"")</f>
        <v>BUISSON GREGORY</v>
      </c>
      <c r="D28" s="10" t="str">
        <f>_xlfn.XLOOKUP(C28,Liste_Dossards!B:B,Liste_Dossards!C:C,"")</f>
        <v>UNION CYCLISTE DE PONTCHARRA GRESIVAUDAN</v>
      </c>
    </row>
    <row r="29" spans="1:4" ht="30" customHeight="1" x14ac:dyDescent="0.4">
      <c r="A29" s="7">
        <v>28</v>
      </c>
      <c r="B29" s="8"/>
      <c r="C29" s="9">
        <f>_xlfn.XLOOKUP(B29,Liste_Dossards!A:A,Liste_Dossards!B:B,"")</f>
        <v>0</v>
      </c>
      <c r="D29" s="10" t="str">
        <f>_xlfn.XLOOKUP(C29,Liste_Dossards!B:B,Liste_Dossards!C:C,"")</f>
        <v/>
      </c>
    </row>
    <row r="30" spans="1:4" ht="30" customHeight="1" x14ac:dyDescent="0.4">
      <c r="A30" s="7">
        <v>29</v>
      </c>
      <c r="B30" s="8"/>
      <c r="C30" s="9">
        <f>_xlfn.XLOOKUP(B30,Liste_Dossards!A:A,Liste_Dossards!B:B,"")</f>
        <v>0</v>
      </c>
      <c r="D30" s="10" t="str">
        <f>_xlfn.XLOOKUP(C30,Liste_Dossards!B:B,Liste_Dossards!C:C,"")</f>
        <v/>
      </c>
    </row>
    <row r="31" spans="1:4" ht="30" customHeight="1" x14ac:dyDescent="0.4">
      <c r="A31" s="7">
        <v>30</v>
      </c>
      <c r="B31" s="8"/>
      <c r="C31" s="9">
        <f>_xlfn.XLOOKUP(B31,Liste_Dossards!A:A,Liste_Dossards!B:B,"")</f>
        <v>0</v>
      </c>
      <c r="D31" s="10" t="str">
        <f>_xlfn.XLOOKUP(C31,Liste_Dossards!B:B,Liste_Dossards!C:C,"")</f>
        <v/>
      </c>
    </row>
    <row r="32" spans="1:4" ht="30" customHeight="1" x14ac:dyDescent="0.4">
      <c r="A32" s="7">
        <v>31</v>
      </c>
      <c r="B32" s="8"/>
      <c r="C32" s="9">
        <f>_xlfn.XLOOKUP(B32,Liste_Dossards!A:A,Liste_Dossards!B:B,"")</f>
        <v>0</v>
      </c>
      <c r="D32" s="10" t="str">
        <f>_xlfn.XLOOKUP(C32,Liste_Dossards!B:B,Liste_Dossards!C:C,"")</f>
        <v/>
      </c>
    </row>
    <row r="33" spans="1:4" ht="30" customHeight="1" thickBot="1" x14ac:dyDescent="0.45">
      <c r="A33" s="7">
        <v>32</v>
      </c>
      <c r="B33" s="13"/>
      <c r="C33" s="9">
        <f>_xlfn.XLOOKUP(B33,Liste_Dossards!A:A,Liste_Dossards!B:B,"")</f>
        <v>0</v>
      </c>
      <c r="D33" s="10" t="str">
        <f>_xlfn.XLOOKUP(C33,Liste_Dossards!B:B,Liste_Dossards!C:C,"")</f>
        <v/>
      </c>
    </row>
  </sheetData>
  <pageMargins left="0.7" right="0.7" top="0.75" bottom="0.75" header="0.3" footer="0.3"/>
  <pageSetup paperSize="9"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AB4D-1EE7-4EC3-A4AD-734AB9855EE1}">
  <dimension ref="A1:D16"/>
  <sheetViews>
    <sheetView view="pageBreakPreview" zoomScale="60" zoomScaleNormal="100" workbookViewId="0">
      <selection activeCell="B13" sqref="B13"/>
    </sheetView>
  </sheetViews>
  <sheetFormatPr baseColWidth="10" defaultColWidth="45" defaultRowHeight="30" customHeight="1" x14ac:dyDescent="0.4"/>
  <cols>
    <col min="1" max="1" width="23" style="16" bestFit="1" customWidth="1"/>
    <col min="2" max="2" width="18.44140625" style="16" bestFit="1" customWidth="1"/>
    <col min="3" max="16384" width="45" style="11"/>
  </cols>
  <sheetData>
    <row r="1" spans="1:4" ht="30" customHeight="1" x14ac:dyDescent="0.4">
      <c r="A1" s="3" t="s">
        <v>161</v>
      </c>
      <c r="B1" s="4" t="s">
        <v>157</v>
      </c>
      <c r="C1" s="5" t="s">
        <v>158</v>
      </c>
      <c r="D1" s="6" t="s">
        <v>1</v>
      </c>
    </row>
    <row r="2" spans="1:4" ht="30" customHeight="1" x14ac:dyDescent="0.4">
      <c r="A2" s="7">
        <v>1</v>
      </c>
      <c r="B2" s="8">
        <v>80</v>
      </c>
      <c r="C2" s="9" t="str">
        <f>_xlfn.XLOOKUP(B2,Liste_Dossards!A:A,Liste_Dossards!B:B,"")</f>
        <v>RAMBAUD JULIEN</v>
      </c>
      <c r="D2" s="10" t="str">
        <f>_xlfn.XLOOKUP(C2,Liste_Dossards!B:B,Liste_Dossards!C:C,"")</f>
        <v>TEAM 3 MASSIFS</v>
      </c>
    </row>
    <row r="3" spans="1:4" ht="30" customHeight="1" x14ac:dyDescent="0.4">
      <c r="A3" s="7">
        <v>2</v>
      </c>
      <c r="B3" s="8">
        <v>75</v>
      </c>
      <c r="C3" s="9" t="str">
        <f>_xlfn.XLOOKUP(B3,Liste_Dossards!A:A,Liste_Dossards!B:B,"")</f>
        <v>BUSCAYLET PHILIPPE</v>
      </c>
      <c r="D3" s="10" t="str">
        <f>_xlfn.XLOOKUP(C3,Liste_Dossards!B:B,Liste_Dossards!C:C,"")</f>
        <v>CYCLO CLUB DE GIERES</v>
      </c>
    </row>
    <row r="4" spans="1:4" ht="30" customHeight="1" x14ac:dyDescent="0.4">
      <c r="A4" s="7">
        <v>3</v>
      </c>
      <c r="B4" s="8">
        <v>85</v>
      </c>
      <c r="C4" s="9" t="str">
        <f>_xlfn.XLOOKUP(B4,Liste_Dossards!A:A,Liste_Dossards!B:B,"")</f>
        <v>GUILLERMIN ROLAND</v>
      </c>
      <c r="D4" s="10" t="str">
        <f>_xlfn.XLOOKUP(C4,Liste_Dossards!B:B,Liste_Dossards!C:C,"")</f>
        <v>RIVES UNION CYCLISTE</v>
      </c>
    </row>
    <row r="5" spans="1:4" ht="30" customHeight="1" x14ac:dyDescent="0.4">
      <c r="A5" s="7">
        <v>4</v>
      </c>
      <c r="B5" s="8">
        <v>82</v>
      </c>
      <c r="C5" s="9" t="str">
        <f>_xlfn.XLOOKUP(B5,Liste_Dossards!A:A,Liste_Dossards!B:B,"")</f>
        <v>VALERO ANGELIQUE</v>
      </c>
      <c r="D5" s="10" t="str">
        <f>_xlfn.XLOOKUP(C5,Liste_Dossards!B:B,Liste_Dossards!C:C,"")</f>
        <v>RIVES UNION CYCLISTE</v>
      </c>
    </row>
    <row r="6" spans="1:4" ht="30" customHeight="1" x14ac:dyDescent="0.4">
      <c r="A6" s="7">
        <v>5</v>
      </c>
      <c r="B6" s="8">
        <v>84</v>
      </c>
      <c r="C6" s="9" t="str">
        <f>_xlfn.XLOOKUP(B6,Liste_Dossards!A:A,Liste_Dossards!B:B,"")</f>
        <v>CHABOT GILLES</v>
      </c>
      <c r="D6" s="10" t="str">
        <f>_xlfn.XLOOKUP(C6,Liste_Dossards!B:B,Liste_Dossards!C:C,"")</f>
        <v>Union cycliste du pays Gapencais</v>
      </c>
    </row>
    <row r="7" spans="1:4" ht="30" customHeight="1" x14ac:dyDescent="0.4">
      <c r="A7" s="7">
        <v>6</v>
      </c>
      <c r="B7" s="8">
        <v>76</v>
      </c>
      <c r="C7" s="9" t="str">
        <f>_xlfn.XLOOKUP(B7,Liste_Dossards!A:A,Liste_Dossards!B:B,"")</f>
        <v>HURSON NICOLAS</v>
      </c>
      <c r="D7" s="10" t="str">
        <f>_xlfn.XLOOKUP(C7,Liste_Dossards!B:B,Liste_Dossards!C:C,"")</f>
        <v>TEAM 3 MASSIFS</v>
      </c>
    </row>
    <row r="8" spans="1:4" ht="30" customHeight="1" x14ac:dyDescent="0.4">
      <c r="A8" s="7">
        <v>7</v>
      </c>
      <c r="B8" s="8">
        <v>79</v>
      </c>
      <c r="C8" s="9" t="str">
        <f>_xlfn.XLOOKUP(B8,Liste_Dossards!A:A,Liste_Dossards!B:B,"")</f>
        <v>MOSCA PATRICK</v>
      </c>
      <c r="D8" s="10" t="str">
        <f>_xlfn.XLOOKUP(C8,Liste_Dossards!B:B,Liste_Dossards!C:C,"")</f>
        <v>UNION CYCLISTE VOIRONNAISE</v>
      </c>
    </row>
    <row r="9" spans="1:4" ht="30" customHeight="1" x14ac:dyDescent="0.4">
      <c r="A9" s="7">
        <v>8</v>
      </c>
      <c r="B9" s="8">
        <v>78</v>
      </c>
      <c r="C9" s="9" t="str">
        <f>_xlfn.XLOOKUP(B9,Liste_Dossards!A:A,Liste_Dossards!B:B,"")</f>
        <v>MESSY PATRICK</v>
      </c>
      <c r="D9" s="10" t="str">
        <f>_xlfn.XLOOKUP(C9,Liste_Dossards!B:B,Liste_Dossards!C:C,"")</f>
        <v>VELO CLUB DE PORC DE BOUC</v>
      </c>
    </row>
    <row r="10" spans="1:4" ht="30" customHeight="1" x14ac:dyDescent="0.4">
      <c r="A10" s="7">
        <v>9</v>
      </c>
      <c r="B10" s="8">
        <v>77</v>
      </c>
      <c r="C10" s="9" t="str">
        <f>_xlfn.XLOOKUP(B10,Liste_Dossards!A:A,Liste_Dossards!B:B,"")</f>
        <v>LOUPIEN VINCENT</v>
      </c>
      <c r="D10" s="10" t="str">
        <f>_xlfn.XLOOKUP(C10,Liste_Dossards!B:B,Liste_Dossards!C:C,"")</f>
        <v>CYCLO CLUB DE GIERES</v>
      </c>
    </row>
    <row r="11" spans="1:4" ht="30" customHeight="1" x14ac:dyDescent="0.4">
      <c r="A11" s="7">
        <v>10</v>
      </c>
      <c r="B11" s="8">
        <v>81</v>
      </c>
      <c r="C11" s="9" t="str">
        <f>_xlfn.XLOOKUP(B11,Liste_Dossards!A:A,Liste_Dossards!B:B,"")</f>
        <v>SAUVAGE CYRIL</v>
      </c>
      <c r="D11" s="10" t="str">
        <f>_xlfn.XLOOKUP(C11,Liste_Dossards!B:B,Liste_Dossards!C:C,"")</f>
        <v>UNION CYCLISTE DE PONTCHARRA GRESIVAUDAN</v>
      </c>
    </row>
    <row r="12" spans="1:4" ht="30" customHeight="1" x14ac:dyDescent="0.4">
      <c r="A12" s="7">
        <v>11</v>
      </c>
      <c r="B12" s="8">
        <v>83</v>
      </c>
      <c r="C12" s="9" t="str">
        <f>_xlfn.XLOOKUP(B12,Liste_Dossards!A:A,Liste_Dossards!B:B,"")</f>
        <v>CARTIER MILLION RAYMOND</v>
      </c>
      <c r="D12" s="10" t="str">
        <f>_xlfn.XLOOKUP(C12,Liste_Dossards!B:B,Liste_Dossards!C:C,"")</f>
        <v>UNION CYCLISTE DE PONTCHARRA GRESIVAUDAN</v>
      </c>
    </row>
    <row r="13" spans="1:4" ht="30" customHeight="1" x14ac:dyDescent="0.4">
      <c r="A13" s="7">
        <v>12</v>
      </c>
      <c r="B13" s="8"/>
      <c r="C13" s="9">
        <f>_xlfn.XLOOKUP(B13,Liste_Dossards!A:A,Liste_Dossards!B:B,"")</f>
        <v>0</v>
      </c>
      <c r="D13" s="10" t="str">
        <f>_xlfn.XLOOKUP(C13,Liste_Dossards!B:B,Liste_Dossards!C:C,"")</f>
        <v/>
      </c>
    </row>
    <row r="14" spans="1:4" ht="30" customHeight="1" x14ac:dyDescent="0.4">
      <c r="A14" s="7">
        <v>13</v>
      </c>
      <c r="B14" s="8"/>
      <c r="C14" s="9">
        <f>_xlfn.XLOOKUP(B14,Liste_Dossards!A:A,Liste_Dossards!B:B,"")</f>
        <v>0</v>
      </c>
      <c r="D14" s="10" t="str">
        <f>_xlfn.XLOOKUP(C14,Liste_Dossards!B:B,Liste_Dossards!C:C,"")</f>
        <v/>
      </c>
    </row>
    <row r="15" spans="1:4" ht="30" customHeight="1" x14ac:dyDescent="0.4">
      <c r="A15" s="7">
        <v>14</v>
      </c>
      <c r="B15" s="8"/>
      <c r="C15" s="9">
        <f>_xlfn.XLOOKUP(B15,Liste_Dossards!A:A,Liste_Dossards!B:B,"")</f>
        <v>0</v>
      </c>
      <c r="D15" s="10" t="str">
        <f>_xlfn.XLOOKUP(C15,Liste_Dossards!B:B,Liste_Dossards!C:C,"")</f>
        <v/>
      </c>
    </row>
    <row r="16" spans="1:4" ht="30" customHeight="1" thickBot="1" x14ac:dyDescent="0.45">
      <c r="A16" s="12">
        <v>15</v>
      </c>
      <c r="B16" s="13"/>
      <c r="C16" s="14">
        <f>_xlfn.XLOOKUP(B16,Liste_Dossards!A:A,Liste_Dossards!B:B,"")</f>
        <v>0</v>
      </c>
      <c r="D16" s="15" t="str">
        <f>_xlfn.XLOOKUP(C16,Liste_Dossards!B:B,Liste_Dossards!C:C,"")</f>
        <v/>
      </c>
    </row>
  </sheetData>
  <pageMargins left="0.7" right="0.7" top="0.75" bottom="0.75" header="0.3" footer="0.3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98B0-4802-4E83-B5E1-5A535566C5D0}">
  <dimension ref="A1:D6"/>
  <sheetViews>
    <sheetView view="pageBreakPreview" zoomScale="60" zoomScaleNormal="100" workbookViewId="0">
      <selection activeCell="B6" sqref="B6"/>
    </sheetView>
  </sheetViews>
  <sheetFormatPr baseColWidth="10" defaultRowHeight="14.4" x14ac:dyDescent="0.3"/>
  <cols>
    <col min="1" max="1" width="26.88671875" style="1" bestFit="1" customWidth="1"/>
    <col min="2" max="2" width="18.44140625" style="1" bestFit="1" customWidth="1"/>
    <col min="3" max="3" width="39.77734375" customWidth="1"/>
    <col min="4" max="4" width="43.88671875" customWidth="1"/>
  </cols>
  <sheetData>
    <row r="1" spans="1:4" s="11" customFormat="1" ht="30" customHeight="1" x14ac:dyDescent="0.4">
      <c r="A1" s="3" t="s">
        <v>162</v>
      </c>
      <c r="B1" s="4" t="s">
        <v>157</v>
      </c>
      <c r="C1" s="5" t="s">
        <v>158</v>
      </c>
      <c r="D1" s="6" t="s">
        <v>1</v>
      </c>
    </row>
    <row r="2" spans="1:4" s="11" customFormat="1" ht="30" customHeight="1" x14ac:dyDescent="0.4">
      <c r="A2" s="7">
        <v>1</v>
      </c>
      <c r="B2" s="8">
        <v>89</v>
      </c>
      <c r="C2" s="9" t="str">
        <f>_xlfn.XLOOKUP(B2,Liste_Dossards!A:A,Liste_Dossards!B:B,"")</f>
        <v>SEVOZ LAVERDURE CELIA</v>
      </c>
      <c r="D2" s="10" t="str">
        <f>_xlfn.XLOOKUP(C2,Liste_Dossards!B:B,Liste_Dossards!C:C,"")</f>
        <v>UNION CYCLISTE VOIRONNAISE</v>
      </c>
    </row>
    <row r="3" spans="1:4" s="11" customFormat="1" ht="30" customHeight="1" x14ac:dyDescent="0.4">
      <c r="A3" s="7">
        <v>2</v>
      </c>
      <c r="B3" s="8">
        <v>86</v>
      </c>
      <c r="C3" s="9" t="str">
        <f>_xlfn.XLOOKUP(B3,Liste_Dossards!A:A,Liste_Dossards!B:B,"")</f>
        <v>COTE CHANTAL</v>
      </c>
      <c r="D3" s="10" t="str">
        <f>_xlfn.XLOOKUP(C3,Liste_Dossards!B:B,Liste_Dossards!C:C,"")</f>
        <v>TEAM 3 MASSIFS</v>
      </c>
    </row>
    <row r="4" spans="1:4" s="11" customFormat="1" ht="30" customHeight="1" x14ac:dyDescent="0.4">
      <c r="A4" s="7">
        <v>3</v>
      </c>
      <c r="B4" s="8">
        <v>87</v>
      </c>
      <c r="C4" s="9" t="str">
        <f>_xlfn.XLOOKUP(B4,Liste_Dossards!A:A,Liste_Dossards!B:B,"")</f>
        <v>ILNICKA OCEANE</v>
      </c>
      <c r="D4" s="10" t="str">
        <f>_xlfn.XLOOKUP(C4,Liste_Dossards!B:B,Liste_Dossards!C:C,"")</f>
        <v>TEAM 3 MASSIFS</v>
      </c>
    </row>
    <row r="5" spans="1:4" s="11" customFormat="1" ht="30" customHeight="1" x14ac:dyDescent="0.4">
      <c r="A5" s="7">
        <v>4</v>
      </c>
      <c r="B5" s="8">
        <v>88</v>
      </c>
      <c r="C5" s="9" t="str">
        <f>_xlfn.XLOOKUP(B5,Liste_Dossards!A:A,Liste_Dossards!B:B,"")</f>
        <v>SELIN KARINE</v>
      </c>
      <c r="D5" s="10" t="str">
        <f>_xlfn.XLOOKUP(C5,Liste_Dossards!B:B,Liste_Dossards!C:C,"")</f>
        <v>UNION CYCLISTE VOIRONNAISE</v>
      </c>
    </row>
    <row r="6" spans="1:4" s="11" customFormat="1" ht="30" customHeight="1" x14ac:dyDescent="0.4">
      <c r="A6" s="7">
        <v>5</v>
      </c>
      <c r="B6" s="8"/>
      <c r="C6" s="9">
        <f>_xlfn.XLOOKUP(B6,Liste_Dossards!A:A,Liste_Dossards!B:B,"")</f>
        <v>0</v>
      </c>
      <c r="D6" s="10" t="str">
        <f>_xlfn.XLOOKUP(C6,Liste_Dossards!B:B,Liste_Dossards!C:C,"")</f>
        <v/>
      </c>
    </row>
  </sheetData>
  <pageMargins left="0.7" right="0.7" top="0.75" bottom="0.75" header="0.3" footer="0.3"/>
  <pageSetup paperSize="9" scale="6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6AA4-FC89-4A7B-BA5F-A30B37D54812}">
  <dimension ref="A1:D11"/>
  <sheetViews>
    <sheetView view="pageBreakPreview" zoomScale="60" zoomScaleNormal="100" workbookViewId="0">
      <selection activeCell="B6" sqref="B6"/>
    </sheetView>
  </sheetViews>
  <sheetFormatPr baseColWidth="10" defaultRowHeight="14.4" x14ac:dyDescent="0.3"/>
  <cols>
    <col min="1" max="1" width="27.44140625" style="1" bestFit="1" customWidth="1"/>
    <col min="2" max="2" width="18.44140625" style="1" bestFit="1" customWidth="1"/>
    <col min="3" max="3" width="39.44140625" customWidth="1"/>
    <col min="4" max="4" width="56.5546875" customWidth="1"/>
  </cols>
  <sheetData>
    <row r="1" spans="1:4" ht="30" customHeight="1" x14ac:dyDescent="0.3">
      <c r="A1" s="3" t="s">
        <v>163</v>
      </c>
      <c r="B1" s="4" t="s">
        <v>157</v>
      </c>
      <c r="C1" s="5" t="s">
        <v>158</v>
      </c>
      <c r="D1" s="6" t="s">
        <v>1</v>
      </c>
    </row>
    <row r="2" spans="1:4" ht="30" customHeight="1" x14ac:dyDescent="0.3">
      <c r="A2" s="7">
        <v>1</v>
      </c>
      <c r="B2" s="8">
        <v>93</v>
      </c>
      <c r="C2" s="9" t="str">
        <f>_xlfn.XLOOKUP(B2,Liste_Dossards!A:A,Liste_Dossards!B:B,"")</f>
        <v>HERNANDEZ RAFAEL</v>
      </c>
      <c r="D2" s="10" t="str">
        <f>_xlfn.XLOOKUP(C2,Liste_Dossards!B:B,Liste_Dossards!C:C,"")</f>
        <v>UNION CYCLISTE VOIRONNAISE</v>
      </c>
    </row>
    <row r="3" spans="1:4" ht="30" customHeight="1" x14ac:dyDescent="0.3">
      <c r="A3" s="7">
        <v>2</v>
      </c>
      <c r="B3" s="8">
        <v>96</v>
      </c>
      <c r="C3" s="9" t="str">
        <f>_xlfn.XLOOKUP(B3,Liste_Dossards!A:A,Liste_Dossards!B:B,"")</f>
        <v>SELIN LOIC</v>
      </c>
      <c r="D3" s="10" t="str">
        <f>_xlfn.XLOOKUP(C3,Liste_Dossards!B:B,Liste_Dossards!C:C,"")</f>
        <v>UNION CYCLISTE VOIRONNAISE</v>
      </c>
    </row>
    <row r="4" spans="1:4" ht="30" customHeight="1" x14ac:dyDescent="0.3">
      <c r="A4" s="7">
        <v>3</v>
      </c>
      <c r="B4" s="8">
        <v>94</v>
      </c>
      <c r="C4" s="9" t="str">
        <f>_xlfn.XLOOKUP(B4,Liste_Dossards!A:A,Liste_Dossards!B:B,"")</f>
        <v>LADURELLE  CHARLES</v>
      </c>
      <c r="D4" s="10" t="str">
        <f>_xlfn.XLOOKUP(C4,Liste_Dossards!B:B,Liste_Dossards!C:C,"")</f>
        <v>LMSC</v>
      </c>
    </row>
    <row r="5" spans="1:4" ht="30" customHeight="1" x14ac:dyDescent="0.3">
      <c r="A5" s="7">
        <v>4</v>
      </c>
      <c r="B5" s="8">
        <v>97</v>
      </c>
      <c r="C5" s="9" t="str">
        <f>_xlfn.XLOOKUP(B5,Liste_Dossards!A:A,Liste_Dossards!B:B,"")</f>
        <v>TANGUY MATHIS</v>
      </c>
      <c r="D5" s="10" t="str">
        <f>_xlfn.XLOOKUP(C5,Liste_Dossards!B:B,Liste_Dossards!C:C,"")</f>
        <v>LA MOTTE SERVOLEX CYCLISME</v>
      </c>
    </row>
    <row r="6" spans="1:4" ht="30" customHeight="1" x14ac:dyDescent="0.3">
      <c r="A6" s="7">
        <v>5</v>
      </c>
      <c r="B6" s="8">
        <v>95</v>
      </c>
      <c r="C6" s="9" t="str">
        <f>_xlfn.XLOOKUP(B6,Liste_Dossards!A:A,Liste_Dossards!B:B,"")</f>
        <v>SAINTAIN-FANCHON RONAN</v>
      </c>
      <c r="D6" s="10" t="str">
        <f>_xlfn.XLOOKUP(C6,Liste_Dossards!B:B,Liste_Dossards!C:C,"")</f>
        <v>UC VOIRONNAISE</v>
      </c>
    </row>
    <row r="7" spans="1:4" ht="30" customHeight="1" x14ac:dyDescent="0.3">
      <c r="A7" s="7">
        <v>6</v>
      </c>
      <c r="B7" s="8"/>
      <c r="C7" s="9">
        <f>_xlfn.XLOOKUP(B7,Liste_Dossards!A:A,Liste_Dossards!B:B,"")</f>
        <v>0</v>
      </c>
      <c r="D7" s="10" t="str">
        <f>_xlfn.XLOOKUP(C7,Liste_Dossards!B:B,Liste_Dossards!C:C,"")</f>
        <v/>
      </c>
    </row>
    <row r="8" spans="1:4" ht="30" customHeight="1" x14ac:dyDescent="0.3">
      <c r="A8" s="7">
        <v>7</v>
      </c>
      <c r="B8" s="8"/>
      <c r="C8" s="9">
        <f>_xlfn.XLOOKUP(B8,Liste_Dossards!A:A,Liste_Dossards!B:B,"")</f>
        <v>0</v>
      </c>
      <c r="D8" s="10" t="str">
        <f>_xlfn.XLOOKUP(C8,Liste_Dossards!B:B,Liste_Dossards!C:C,"")</f>
        <v/>
      </c>
    </row>
    <row r="9" spans="1:4" ht="30" customHeight="1" x14ac:dyDescent="0.3">
      <c r="A9" s="7">
        <v>8</v>
      </c>
      <c r="B9" s="8"/>
      <c r="C9" s="9">
        <f>_xlfn.XLOOKUP(B9,Liste_Dossards!A:A,Liste_Dossards!B:B,"")</f>
        <v>0</v>
      </c>
      <c r="D9" s="10" t="str">
        <f>_xlfn.XLOOKUP(C9,Liste_Dossards!B:B,Liste_Dossards!C:C,"")</f>
        <v/>
      </c>
    </row>
    <row r="10" spans="1:4" ht="30" customHeight="1" x14ac:dyDescent="0.3">
      <c r="A10" s="7">
        <v>9</v>
      </c>
      <c r="B10" s="8"/>
      <c r="C10" s="9">
        <f>_xlfn.XLOOKUP(B10,Liste_Dossards!A:A,Liste_Dossards!B:B,"")</f>
        <v>0</v>
      </c>
      <c r="D10" s="10" t="str">
        <f>_xlfn.XLOOKUP(C10,Liste_Dossards!B:B,Liste_Dossards!C:C,"")</f>
        <v/>
      </c>
    </row>
    <row r="11" spans="1:4" ht="30" customHeight="1" x14ac:dyDescent="0.3">
      <c r="A11" s="7">
        <v>10</v>
      </c>
      <c r="B11" s="8"/>
      <c r="C11" s="9">
        <f>_xlfn.XLOOKUP(B11,Liste_Dossards!A:A,Liste_Dossards!B:B,"")</f>
        <v>0</v>
      </c>
      <c r="D11" s="10" t="str">
        <f>_xlfn.XLOOKUP(C11,Liste_Dossards!B:B,Liste_Dossards!C:C,"")</f>
        <v/>
      </c>
    </row>
  </sheetData>
  <pageMargins left="0.7" right="0.7" top="0.75" bottom="0.75" header="0.3" footer="0.3"/>
  <pageSetup paperSize="9" scale="6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7B79-1350-44CC-95A5-A100FB2EFA19}">
  <dimension ref="A1:H99"/>
  <sheetViews>
    <sheetView view="pageBreakPreview" topLeftCell="A69" zoomScale="60" zoomScaleNormal="100" workbookViewId="0">
      <selection activeCell="C20" sqref="C20"/>
    </sheetView>
  </sheetViews>
  <sheetFormatPr baseColWidth="10" defaultRowHeight="40.049999999999997" customHeight="1" x14ac:dyDescent="0.3"/>
  <cols>
    <col min="1" max="1" width="31.21875" style="1" bestFit="1" customWidth="1"/>
    <col min="2" max="2" width="54.88671875" bestFit="1" customWidth="1"/>
    <col min="3" max="3" width="94.77734375" bestFit="1" customWidth="1"/>
    <col min="4" max="4" width="24.33203125" bestFit="1" customWidth="1"/>
    <col min="5" max="5" width="12.88671875" bestFit="1" customWidth="1"/>
    <col min="6" max="6" width="16.21875" style="2" bestFit="1" customWidth="1"/>
    <col min="7" max="7" width="28.44140625" bestFit="1" customWidth="1"/>
    <col min="8" max="8" width="24.77734375" bestFit="1" customWidth="1"/>
  </cols>
  <sheetData>
    <row r="1" spans="1:8" ht="40.049999999999997" customHeight="1" x14ac:dyDescent="0.5">
      <c r="A1" s="18" t="s">
        <v>155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20" t="s">
        <v>164</v>
      </c>
      <c r="H1" s="20" t="s">
        <v>165</v>
      </c>
    </row>
    <row r="2" spans="1:8" ht="40.049999999999997" customHeight="1" x14ac:dyDescent="0.5">
      <c r="A2" s="21">
        <v>1</v>
      </c>
      <c r="B2" s="22" t="s">
        <v>17</v>
      </c>
      <c r="C2" s="22" t="s">
        <v>18</v>
      </c>
      <c r="D2" s="23"/>
      <c r="E2" s="24" t="s">
        <v>19</v>
      </c>
      <c r="F2" s="24" t="s">
        <v>154</v>
      </c>
      <c r="G2" s="25"/>
      <c r="H2" s="25"/>
    </row>
    <row r="3" spans="1:8" ht="40.049999999999997" customHeight="1" x14ac:dyDescent="0.5">
      <c r="A3" s="21">
        <v>2</v>
      </c>
      <c r="B3" s="22" t="s">
        <v>178</v>
      </c>
      <c r="C3" s="22" t="s">
        <v>12</v>
      </c>
      <c r="D3" s="23"/>
      <c r="E3" s="24" t="s">
        <v>19</v>
      </c>
      <c r="F3" s="24" t="s">
        <v>154</v>
      </c>
      <c r="G3" s="25"/>
      <c r="H3" s="25"/>
    </row>
    <row r="4" spans="1:8" ht="40.049999999999997" customHeight="1" x14ac:dyDescent="0.5">
      <c r="A4" s="21">
        <v>3</v>
      </c>
      <c r="B4" s="22" t="s">
        <v>20</v>
      </c>
      <c r="C4" s="22" t="s">
        <v>21</v>
      </c>
      <c r="D4" s="23"/>
      <c r="E4" s="24" t="s">
        <v>19</v>
      </c>
      <c r="F4" s="24" t="s">
        <v>154</v>
      </c>
      <c r="G4" s="25"/>
      <c r="H4" s="25"/>
    </row>
    <row r="5" spans="1:8" ht="40.049999999999997" customHeight="1" x14ac:dyDescent="0.5">
      <c r="A5" s="21">
        <v>4</v>
      </c>
      <c r="B5" s="22" t="s">
        <v>22</v>
      </c>
      <c r="C5" s="22" t="s">
        <v>23</v>
      </c>
      <c r="D5" s="23"/>
      <c r="E5" s="24" t="s">
        <v>19</v>
      </c>
      <c r="F5" s="24" t="s">
        <v>154</v>
      </c>
      <c r="G5" s="25"/>
      <c r="H5" s="25"/>
    </row>
    <row r="6" spans="1:8" ht="40.049999999999997" customHeight="1" x14ac:dyDescent="0.5">
      <c r="A6" s="21">
        <v>5</v>
      </c>
      <c r="B6" s="22" t="s">
        <v>24</v>
      </c>
      <c r="C6" s="22" t="s">
        <v>25</v>
      </c>
      <c r="D6" s="23"/>
      <c r="E6" s="24" t="s">
        <v>19</v>
      </c>
      <c r="F6" s="24" t="s">
        <v>154</v>
      </c>
      <c r="G6" s="25"/>
      <c r="H6" s="25"/>
    </row>
    <row r="7" spans="1:8" ht="40.049999999999997" customHeight="1" x14ac:dyDescent="0.5">
      <c r="A7" s="21">
        <v>6</v>
      </c>
      <c r="B7" s="22" t="s">
        <v>26</v>
      </c>
      <c r="C7" s="22" t="s">
        <v>27</v>
      </c>
      <c r="D7" s="22" t="s">
        <v>28</v>
      </c>
      <c r="E7" s="24" t="s">
        <v>19</v>
      </c>
      <c r="F7" s="24" t="s">
        <v>9</v>
      </c>
      <c r="G7" s="25"/>
      <c r="H7" s="25"/>
    </row>
    <row r="8" spans="1:8" ht="40.049999999999997" customHeight="1" x14ac:dyDescent="0.5">
      <c r="A8" s="21">
        <v>7</v>
      </c>
      <c r="B8" s="22" t="s">
        <v>169</v>
      </c>
      <c r="C8" s="22" t="s">
        <v>25</v>
      </c>
      <c r="D8" s="22"/>
      <c r="E8" s="24" t="s">
        <v>170</v>
      </c>
      <c r="F8" s="24" t="s">
        <v>154</v>
      </c>
      <c r="G8" s="25"/>
      <c r="H8" s="25"/>
    </row>
    <row r="9" spans="1:8" ht="40.049999999999997" customHeight="1" x14ac:dyDescent="0.5">
      <c r="A9" s="21">
        <v>8</v>
      </c>
      <c r="B9" s="22" t="s">
        <v>29</v>
      </c>
      <c r="C9" s="22" t="s">
        <v>30</v>
      </c>
      <c r="D9" s="23"/>
      <c r="E9" s="24" t="s">
        <v>19</v>
      </c>
      <c r="F9" s="24" t="s">
        <v>154</v>
      </c>
      <c r="G9" s="25"/>
      <c r="H9" s="25"/>
    </row>
    <row r="10" spans="1:8" ht="40.049999999999997" customHeight="1" x14ac:dyDescent="0.5">
      <c r="A10" s="21">
        <v>9</v>
      </c>
      <c r="B10" s="22" t="s">
        <v>31</v>
      </c>
      <c r="C10" s="22" t="s">
        <v>32</v>
      </c>
      <c r="D10" s="23"/>
      <c r="E10" s="24" t="s">
        <v>19</v>
      </c>
      <c r="F10" s="24" t="s">
        <v>154</v>
      </c>
      <c r="G10" s="25"/>
      <c r="H10" s="25"/>
    </row>
    <row r="11" spans="1:8" ht="40.049999999999997" customHeight="1" x14ac:dyDescent="0.5">
      <c r="A11" s="21">
        <v>10</v>
      </c>
      <c r="B11" s="22" t="s">
        <v>33</v>
      </c>
      <c r="C11" s="22" t="s">
        <v>18</v>
      </c>
      <c r="D11" s="23"/>
      <c r="E11" s="24" t="s">
        <v>19</v>
      </c>
      <c r="F11" s="24" t="s">
        <v>154</v>
      </c>
      <c r="G11" s="25"/>
      <c r="H11" s="25"/>
    </row>
    <row r="12" spans="1:8" ht="40.049999999999997" customHeight="1" x14ac:dyDescent="0.5">
      <c r="A12" s="21">
        <v>11</v>
      </c>
      <c r="B12" s="22" t="s">
        <v>180</v>
      </c>
      <c r="C12" s="22" t="s">
        <v>32</v>
      </c>
      <c r="D12" s="23"/>
      <c r="E12" s="24" t="s">
        <v>170</v>
      </c>
      <c r="F12" s="24" t="s">
        <v>154</v>
      </c>
      <c r="G12" s="25"/>
      <c r="H12" s="25"/>
    </row>
    <row r="13" spans="1:8" ht="40.049999999999997" customHeight="1" x14ac:dyDescent="0.5">
      <c r="A13" s="21">
        <v>12</v>
      </c>
      <c r="B13" s="22" t="s">
        <v>190</v>
      </c>
      <c r="C13" s="22" t="s">
        <v>32</v>
      </c>
      <c r="D13" s="23"/>
      <c r="E13" s="24" t="s">
        <v>191</v>
      </c>
      <c r="F13" s="24" t="s">
        <v>9</v>
      </c>
      <c r="G13" s="25"/>
      <c r="H13" s="25"/>
    </row>
    <row r="14" spans="1:8" ht="40.049999999999997" customHeight="1" x14ac:dyDescent="0.5">
      <c r="A14" s="21">
        <v>13</v>
      </c>
      <c r="B14" s="22"/>
      <c r="C14" s="22"/>
      <c r="D14" s="23"/>
      <c r="E14" s="24"/>
      <c r="F14" s="24"/>
      <c r="G14" s="25"/>
      <c r="H14" s="25"/>
    </row>
    <row r="15" spans="1:8" ht="40.049999999999997" customHeight="1" x14ac:dyDescent="0.5">
      <c r="A15" s="26">
        <v>14</v>
      </c>
      <c r="B15" s="22" t="s">
        <v>34</v>
      </c>
      <c r="C15" s="22" t="s">
        <v>35</v>
      </c>
      <c r="D15" s="22" t="s">
        <v>36</v>
      </c>
      <c r="E15" s="24" t="s">
        <v>37</v>
      </c>
      <c r="F15" s="24" t="s">
        <v>9</v>
      </c>
      <c r="G15" s="25"/>
      <c r="H15" s="25"/>
    </row>
    <row r="16" spans="1:8" ht="40.049999999999997" customHeight="1" x14ac:dyDescent="0.5">
      <c r="A16" s="26">
        <v>15</v>
      </c>
      <c r="B16" s="22" t="s">
        <v>183</v>
      </c>
      <c r="C16" s="22" t="s">
        <v>6</v>
      </c>
      <c r="D16" s="22"/>
      <c r="E16" s="24" t="s">
        <v>37</v>
      </c>
      <c r="F16" s="24" t="s">
        <v>154</v>
      </c>
      <c r="G16" s="25"/>
      <c r="H16" s="25"/>
    </row>
    <row r="17" spans="1:8" ht="40.049999999999997" customHeight="1" x14ac:dyDescent="0.5">
      <c r="A17" s="26">
        <v>16</v>
      </c>
      <c r="B17" s="22" t="s">
        <v>173</v>
      </c>
      <c r="C17" s="22" t="s">
        <v>69</v>
      </c>
      <c r="D17" s="22"/>
      <c r="E17" s="24" t="s">
        <v>174</v>
      </c>
      <c r="F17" s="24" t="s">
        <v>9</v>
      </c>
      <c r="G17" s="25"/>
      <c r="H17" s="25"/>
    </row>
    <row r="18" spans="1:8" ht="40.049999999999997" customHeight="1" x14ac:dyDescent="0.5">
      <c r="A18" s="26">
        <v>17</v>
      </c>
      <c r="B18" s="22" t="s">
        <v>38</v>
      </c>
      <c r="C18" s="22" t="s">
        <v>39</v>
      </c>
      <c r="D18" s="22" t="s">
        <v>40</v>
      </c>
      <c r="E18" s="24" t="s">
        <v>37</v>
      </c>
      <c r="F18" s="24" t="s">
        <v>9</v>
      </c>
      <c r="G18" s="25"/>
      <c r="H18" s="25"/>
    </row>
    <row r="19" spans="1:8" ht="40.049999999999997" customHeight="1" x14ac:dyDescent="0.5">
      <c r="A19" s="26">
        <v>18</v>
      </c>
      <c r="B19" s="22" t="s">
        <v>41</v>
      </c>
      <c r="C19" s="22" t="s">
        <v>27</v>
      </c>
      <c r="D19" s="22" t="s">
        <v>42</v>
      </c>
      <c r="E19" s="24" t="s">
        <v>37</v>
      </c>
      <c r="F19" s="24" t="s">
        <v>9</v>
      </c>
      <c r="G19" s="25"/>
      <c r="H19" s="25"/>
    </row>
    <row r="20" spans="1:8" ht="40.049999999999997" customHeight="1" x14ac:dyDescent="0.5">
      <c r="A20" s="26">
        <v>19</v>
      </c>
      <c r="B20" s="22" t="s">
        <v>186</v>
      </c>
      <c r="C20" s="22"/>
      <c r="D20" s="22"/>
      <c r="E20" s="24" t="s">
        <v>37</v>
      </c>
      <c r="F20" s="24" t="s">
        <v>154</v>
      </c>
      <c r="G20" s="25"/>
      <c r="H20" s="25"/>
    </row>
    <row r="21" spans="1:8" ht="40.049999999999997" customHeight="1" x14ac:dyDescent="0.5">
      <c r="A21" s="26">
        <v>20</v>
      </c>
      <c r="B21" s="22" t="s">
        <v>43</v>
      </c>
      <c r="C21" s="22" t="s">
        <v>27</v>
      </c>
      <c r="D21" s="22" t="s">
        <v>44</v>
      </c>
      <c r="E21" s="24" t="s">
        <v>37</v>
      </c>
      <c r="F21" s="24" t="s">
        <v>9</v>
      </c>
      <c r="G21" s="25"/>
      <c r="H21" s="25"/>
    </row>
    <row r="22" spans="1:8" ht="40.049999999999997" customHeight="1" x14ac:dyDescent="0.5">
      <c r="A22" s="26">
        <v>21</v>
      </c>
      <c r="B22" s="22" t="s">
        <v>45</v>
      </c>
      <c r="C22" s="22" t="s">
        <v>39</v>
      </c>
      <c r="D22" s="22" t="s">
        <v>46</v>
      </c>
      <c r="E22" s="24" t="s">
        <v>37</v>
      </c>
      <c r="F22" s="24" t="s">
        <v>9</v>
      </c>
      <c r="G22" s="25"/>
      <c r="H22" s="25"/>
    </row>
    <row r="23" spans="1:8" ht="40.049999999999997" customHeight="1" x14ac:dyDescent="0.5">
      <c r="A23" s="26">
        <v>22</v>
      </c>
      <c r="B23" s="22" t="s">
        <v>88</v>
      </c>
      <c r="C23" s="22" t="s">
        <v>89</v>
      </c>
      <c r="D23" s="23"/>
      <c r="E23" s="24" t="s">
        <v>37</v>
      </c>
      <c r="F23" s="24" t="s">
        <v>154</v>
      </c>
      <c r="G23" s="25"/>
      <c r="H23" s="25"/>
    </row>
    <row r="24" spans="1:8" ht="40.049999999999997" customHeight="1" x14ac:dyDescent="0.5">
      <c r="A24" s="26">
        <v>23</v>
      </c>
      <c r="B24" s="22" t="s">
        <v>47</v>
      </c>
      <c r="C24" s="22" t="s">
        <v>18</v>
      </c>
      <c r="D24" s="23"/>
      <c r="E24" s="24" t="s">
        <v>37</v>
      </c>
      <c r="F24" s="24" t="s">
        <v>154</v>
      </c>
      <c r="G24" s="25"/>
      <c r="H24" s="25"/>
    </row>
    <row r="25" spans="1:8" ht="40.049999999999997" customHeight="1" x14ac:dyDescent="0.5">
      <c r="A25" s="26">
        <v>24</v>
      </c>
      <c r="B25" s="22" t="s">
        <v>48</v>
      </c>
      <c r="C25" s="22" t="s">
        <v>11</v>
      </c>
      <c r="D25" s="23"/>
      <c r="E25" s="24" t="s">
        <v>37</v>
      </c>
      <c r="F25" s="24" t="s">
        <v>154</v>
      </c>
      <c r="G25" s="25"/>
      <c r="H25" s="25"/>
    </row>
    <row r="26" spans="1:8" ht="40.049999999999997" customHeight="1" x14ac:dyDescent="0.5">
      <c r="A26" s="26">
        <v>25</v>
      </c>
      <c r="B26" s="22" t="s">
        <v>49</v>
      </c>
      <c r="C26" s="22" t="s">
        <v>27</v>
      </c>
      <c r="D26" s="22" t="s">
        <v>50</v>
      </c>
      <c r="E26" s="24" t="s">
        <v>37</v>
      </c>
      <c r="F26" s="24" t="s">
        <v>9</v>
      </c>
      <c r="G26" s="25"/>
      <c r="H26" s="25"/>
    </row>
    <row r="27" spans="1:8" ht="40.049999999999997" customHeight="1" x14ac:dyDescent="0.5">
      <c r="A27" s="26">
        <v>26</v>
      </c>
      <c r="B27" s="22" t="s">
        <v>51</v>
      </c>
      <c r="C27" s="22" t="s">
        <v>18</v>
      </c>
      <c r="D27" s="23"/>
      <c r="E27" s="24" t="s">
        <v>37</v>
      </c>
      <c r="F27" s="24" t="s">
        <v>154</v>
      </c>
      <c r="G27" s="25"/>
      <c r="H27" s="25"/>
    </row>
    <row r="28" spans="1:8" ht="40.049999999999997" customHeight="1" x14ac:dyDescent="0.5">
      <c r="A28" s="26">
        <v>27</v>
      </c>
      <c r="B28" s="22" t="s">
        <v>52</v>
      </c>
      <c r="C28" s="22" t="s">
        <v>27</v>
      </c>
      <c r="D28" s="22" t="s">
        <v>53</v>
      </c>
      <c r="E28" s="24" t="s">
        <v>37</v>
      </c>
      <c r="F28" s="24" t="s">
        <v>9</v>
      </c>
      <c r="G28" s="25"/>
      <c r="H28" s="25"/>
    </row>
    <row r="29" spans="1:8" ht="40.049999999999997" customHeight="1" x14ac:dyDescent="0.5">
      <c r="A29" s="26">
        <v>28</v>
      </c>
      <c r="B29" s="22" t="s">
        <v>167</v>
      </c>
      <c r="C29" s="22" t="s">
        <v>39</v>
      </c>
      <c r="D29" s="22"/>
      <c r="E29" s="24" t="s">
        <v>37</v>
      </c>
      <c r="F29" s="24" t="s">
        <v>9</v>
      </c>
      <c r="G29" s="25"/>
      <c r="H29" s="25"/>
    </row>
    <row r="30" spans="1:8" ht="40.049999999999997" customHeight="1" x14ac:dyDescent="0.5">
      <c r="A30" s="26">
        <v>29</v>
      </c>
      <c r="B30" s="22" t="s">
        <v>54</v>
      </c>
      <c r="C30" s="22" t="s">
        <v>27</v>
      </c>
      <c r="D30" s="22" t="s">
        <v>55</v>
      </c>
      <c r="E30" s="24" t="s">
        <v>37</v>
      </c>
      <c r="F30" s="24" t="s">
        <v>9</v>
      </c>
      <c r="G30" s="25"/>
      <c r="H30" s="25"/>
    </row>
    <row r="31" spans="1:8" ht="40.049999999999997" customHeight="1" x14ac:dyDescent="0.5">
      <c r="A31" s="31">
        <v>30</v>
      </c>
      <c r="B31" s="28" t="s">
        <v>56</v>
      </c>
      <c r="C31" s="28" t="s">
        <v>57</v>
      </c>
      <c r="D31" s="28" t="s">
        <v>58</v>
      </c>
      <c r="E31" s="29" t="s">
        <v>37</v>
      </c>
      <c r="F31" s="29" t="s">
        <v>9</v>
      </c>
      <c r="G31" s="25"/>
      <c r="H31" s="25"/>
    </row>
    <row r="32" spans="1:8" ht="40.049999999999997" customHeight="1" x14ac:dyDescent="0.5">
      <c r="A32" s="26">
        <v>31</v>
      </c>
      <c r="B32" s="22" t="s">
        <v>168</v>
      </c>
      <c r="C32" s="22" t="s">
        <v>69</v>
      </c>
      <c r="D32" s="22"/>
      <c r="E32" s="24" t="s">
        <v>37</v>
      </c>
      <c r="F32" s="24" t="s">
        <v>9</v>
      </c>
      <c r="G32" s="25"/>
      <c r="H32" s="25"/>
    </row>
    <row r="33" spans="1:8" ht="40.049999999999997" customHeight="1" x14ac:dyDescent="0.5">
      <c r="A33" s="26">
        <v>32</v>
      </c>
      <c r="B33" s="22" t="s">
        <v>166</v>
      </c>
      <c r="C33" s="22" t="s">
        <v>69</v>
      </c>
      <c r="D33" s="22"/>
      <c r="E33" s="24" t="s">
        <v>37</v>
      </c>
      <c r="F33" s="24" t="s">
        <v>9</v>
      </c>
      <c r="G33" s="25"/>
      <c r="H33" s="25"/>
    </row>
    <row r="34" spans="1:8" ht="40.049999999999997" customHeight="1" x14ac:dyDescent="0.5">
      <c r="A34" s="26">
        <v>33</v>
      </c>
      <c r="B34" s="22" t="s">
        <v>59</v>
      </c>
      <c r="C34" s="22" t="s">
        <v>27</v>
      </c>
      <c r="D34" s="22" t="s">
        <v>60</v>
      </c>
      <c r="E34" s="24" t="s">
        <v>37</v>
      </c>
      <c r="F34" s="24" t="s">
        <v>9</v>
      </c>
      <c r="G34" s="25"/>
      <c r="H34" s="25"/>
    </row>
    <row r="35" spans="1:8" ht="40.049999999999997" customHeight="1" x14ac:dyDescent="0.5">
      <c r="A35" s="26">
        <v>34</v>
      </c>
      <c r="B35" s="22" t="s">
        <v>184</v>
      </c>
      <c r="C35" s="22" t="s">
        <v>39</v>
      </c>
      <c r="D35" s="22"/>
      <c r="E35" s="24" t="s">
        <v>37</v>
      </c>
      <c r="F35" s="24" t="s">
        <v>9</v>
      </c>
      <c r="G35" s="25"/>
      <c r="H35" s="25"/>
    </row>
    <row r="36" spans="1:8" ht="40.049999999999997" customHeight="1" x14ac:dyDescent="0.5">
      <c r="A36" s="26">
        <v>35</v>
      </c>
      <c r="B36" s="22" t="s">
        <v>61</v>
      </c>
      <c r="C36" s="22" t="s">
        <v>23</v>
      </c>
      <c r="D36" s="23"/>
      <c r="E36" s="24" t="s">
        <v>37</v>
      </c>
      <c r="F36" s="24" t="s">
        <v>154</v>
      </c>
      <c r="G36" s="25"/>
      <c r="H36" s="25"/>
    </row>
    <row r="37" spans="1:8" ht="40.049999999999997" customHeight="1" x14ac:dyDescent="0.5">
      <c r="A37" s="26">
        <v>36</v>
      </c>
      <c r="B37" s="22" t="s">
        <v>62</v>
      </c>
      <c r="C37" s="22" t="s">
        <v>63</v>
      </c>
      <c r="D37" s="23"/>
      <c r="E37" s="24" t="s">
        <v>37</v>
      </c>
      <c r="F37" s="24" t="s">
        <v>154</v>
      </c>
      <c r="G37" s="25"/>
      <c r="H37" s="25"/>
    </row>
    <row r="38" spans="1:8" ht="40.049999999999997" customHeight="1" x14ac:dyDescent="0.5">
      <c r="A38" s="26">
        <v>37</v>
      </c>
      <c r="B38" s="22" t="s">
        <v>64</v>
      </c>
      <c r="C38" s="23"/>
      <c r="D38" s="23"/>
      <c r="E38" s="24" t="s">
        <v>37</v>
      </c>
      <c r="F38" s="24" t="s">
        <v>154</v>
      </c>
      <c r="G38" s="25"/>
      <c r="H38" s="25"/>
    </row>
    <row r="39" spans="1:8" ht="40.049999999999997" customHeight="1" x14ac:dyDescent="0.5">
      <c r="A39" s="26">
        <v>38</v>
      </c>
      <c r="B39" s="22" t="s">
        <v>123</v>
      </c>
      <c r="C39" s="23"/>
      <c r="D39" s="23"/>
      <c r="E39" s="24" t="s">
        <v>37</v>
      </c>
      <c r="F39" s="24" t="s">
        <v>154</v>
      </c>
      <c r="G39" s="25"/>
      <c r="H39" s="25"/>
    </row>
    <row r="40" spans="1:8" ht="40.049999999999997" customHeight="1" x14ac:dyDescent="0.5">
      <c r="A40" s="26">
        <v>39</v>
      </c>
      <c r="B40" s="22" t="s">
        <v>181</v>
      </c>
      <c r="C40" s="23"/>
      <c r="D40" s="23"/>
      <c r="E40" s="24" t="s">
        <v>37</v>
      </c>
      <c r="F40" s="24" t="s">
        <v>154</v>
      </c>
      <c r="G40" s="25"/>
      <c r="H40" s="25"/>
    </row>
    <row r="41" spans="1:8" ht="40.049999999999997" customHeight="1" x14ac:dyDescent="0.5">
      <c r="A41" s="26">
        <v>40</v>
      </c>
      <c r="B41" s="22"/>
      <c r="C41" s="23"/>
      <c r="D41" s="23"/>
      <c r="E41" s="24"/>
      <c r="F41" s="24"/>
      <c r="G41" s="25"/>
      <c r="H41" s="25"/>
    </row>
    <row r="42" spans="1:8" ht="40.049999999999997" customHeight="1" x14ac:dyDescent="0.5">
      <c r="A42" s="18" t="s">
        <v>155</v>
      </c>
      <c r="B42" s="19" t="s">
        <v>0</v>
      </c>
      <c r="C42" s="19" t="s">
        <v>1</v>
      </c>
      <c r="D42" s="19" t="s">
        <v>2</v>
      </c>
      <c r="E42" s="19" t="s">
        <v>3</v>
      </c>
      <c r="F42" s="19" t="s">
        <v>4</v>
      </c>
      <c r="G42" s="20" t="s">
        <v>164</v>
      </c>
      <c r="H42" s="20" t="s">
        <v>165</v>
      </c>
    </row>
    <row r="43" spans="1:8" ht="40.049999999999997" customHeight="1" x14ac:dyDescent="0.5">
      <c r="A43" s="21">
        <v>41</v>
      </c>
      <c r="B43" s="22" t="s">
        <v>65</v>
      </c>
      <c r="C43" s="22" t="s">
        <v>27</v>
      </c>
      <c r="D43" s="22" t="s">
        <v>66</v>
      </c>
      <c r="E43" s="24" t="s">
        <v>67</v>
      </c>
      <c r="F43" s="24" t="s">
        <v>9</v>
      </c>
      <c r="G43" s="25"/>
      <c r="H43" s="25"/>
    </row>
    <row r="44" spans="1:8" ht="40.049999999999997" customHeight="1" x14ac:dyDescent="0.5">
      <c r="A44" s="21">
        <v>42</v>
      </c>
      <c r="B44" s="22" t="s">
        <v>68</v>
      </c>
      <c r="C44" s="22" t="s">
        <v>69</v>
      </c>
      <c r="D44" s="22" t="s">
        <v>70</v>
      </c>
      <c r="E44" s="24" t="s">
        <v>67</v>
      </c>
      <c r="F44" s="24" t="s">
        <v>9</v>
      </c>
      <c r="G44" s="25"/>
      <c r="H44" s="25"/>
    </row>
    <row r="45" spans="1:8" ht="40.049999999999997" customHeight="1" x14ac:dyDescent="0.5">
      <c r="A45" s="21">
        <v>43</v>
      </c>
      <c r="B45" s="22" t="s">
        <v>71</v>
      </c>
      <c r="C45" s="22" t="s">
        <v>27</v>
      </c>
      <c r="D45" s="22" t="s">
        <v>72</v>
      </c>
      <c r="E45" s="24" t="s">
        <v>67</v>
      </c>
      <c r="F45" s="24" t="s">
        <v>9</v>
      </c>
      <c r="G45" s="25"/>
      <c r="H45" s="25"/>
    </row>
    <row r="46" spans="1:8" ht="40.049999999999997" customHeight="1" x14ac:dyDescent="0.5">
      <c r="A46" s="27">
        <v>44</v>
      </c>
      <c r="B46" s="28" t="s">
        <v>73</v>
      </c>
      <c r="C46" s="28" t="s">
        <v>69</v>
      </c>
      <c r="D46" s="28" t="s">
        <v>74</v>
      </c>
      <c r="E46" s="29" t="s">
        <v>67</v>
      </c>
      <c r="F46" s="29" t="s">
        <v>9</v>
      </c>
      <c r="G46" s="25"/>
      <c r="H46" s="25"/>
    </row>
    <row r="47" spans="1:8" ht="40.049999999999997" customHeight="1" x14ac:dyDescent="0.5">
      <c r="A47" s="27">
        <v>0</v>
      </c>
      <c r="B47" s="28" t="s">
        <v>75</v>
      </c>
      <c r="C47" s="28" t="s">
        <v>27</v>
      </c>
      <c r="D47" s="28" t="s">
        <v>76</v>
      </c>
      <c r="E47" s="29" t="s">
        <v>67</v>
      </c>
      <c r="F47" s="29" t="s">
        <v>9</v>
      </c>
      <c r="G47" s="25"/>
      <c r="H47" s="25"/>
    </row>
    <row r="48" spans="1:8" ht="40.049999999999997" customHeight="1" x14ac:dyDescent="0.5">
      <c r="A48" s="21">
        <v>45</v>
      </c>
      <c r="B48" s="22" t="s">
        <v>77</v>
      </c>
      <c r="C48" s="22" t="s">
        <v>69</v>
      </c>
      <c r="D48" s="22" t="s">
        <v>78</v>
      </c>
      <c r="E48" s="24" t="s">
        <v>67</v>
      </c>
      <c r="F48" s="24" t="s">
        <v>9</v>
      </c>
      <c r="G48" s="25"/>
      <c r="H48" s="25"/>
    </row>
    <row r="49" spans="1:8" ht="40.049999999999997" customHeight="1" x14ac:dyDescent="0.5">
      <c r="A49" s="21">
        <v>46</v>
      </c>
      <c r="B49" s="22" t="s">
        <v>79</v>
      </c>
      <c r="C49" s="22" t="s">
        <v>35</v>
      </c>
      <c r="D49" s="22" t="s">
        <v>80</v>
      </c>
      <c r="E49" s="24" t="s">
        <v>67</v>
      </c>
      <c r="F49" s="24" t="s">
        <v>9</v>
      </c>
      <c r="G49" s="25"/>
      <c r="H49" s="25"/>
    </row>
    <row r="50" spans="1:8" ht="40.049999999999997" customHeight="1" x14ac:dyDescent="0.5">
      <c r="A50" s="21">
        <v>47</v>
      </c>
      <c r="B50" s="22" t="s">
        <v>81</v>
      </c>
      <c r="C50" s="22" t="s">
        <v>35</v>
      </c>
      <c r="D50" s="22" t="s">
        <v>82</v>
      </c>
      <c r="E50" s="24" t="s">
        <v>67</v>
      </c>
      <c r="F50" s="24" t="s">
        <v>9</v>
      </c>
      <c r="G50" s="25"/>
      <c r="H50" s="25"/>
    </row>
    <row r="51" spans="1:8" ht="40.049999999999997" customHeight="1" x14ac:dyDescent="0.5">
      <c r="A51" s="21">
        <v>48</v>
      </c>
      <c r="B51" s="22" t="s">
        <v>83</v>
      </c>
      <c r="C51" s="22" t="s">
        <v>84</v>
      </c>
      <c r="D51" s="22" t="s">
        <v>85</v>
      </c>
      <c r="E51" s="24" t="s">
        <v>67</v>
      </c>
      <c r="F51" s="24" t="s">
        <v>9</v>
      </c>
      <c r="G51" s="25"/>
      <c r="H51" s="25"/>
    </row>
    <row r="52" spans="1:8" ht="40.049999999999997" customHeight="1" x14ac:dyDescent="0.5">
      <c r="A52" s="21">
        <v>49</v>
      </c>
      <c r="B52" s="22" t="s">
        <v>86</v>
      </c>
      <c r="C52" s="22" t="s">
        <v>69</v>
      </c>
      <c r="D52" s="22" t="s">
        <v>87</v>
      </c>
      <c r="E52" s="24" t="s">
        <v>67</v>
      </c>
      <c r="F52" s="24" t="s">
        <v>9</v>
      </c>
      <c r="G52" s="25"/>
      <c r="H52" s="25"/>
    </row>
    <row r="53" spans="1:8" ht="40.049999999999997" customHeight="1" x14ac:dyDescent="0.5">
      <c r="A53" s="21">
        <v>50</v>
      </c>
      <c r="B53" s="22" t="s">
        <v>90</v>
      </c>
      <c r="C53" s="22" t="s">
        <v>27</v>
      </c>
      <c r="D53" s="22" t="s">
        <v>91</v>
      </c>
      <c r="E53" s="24" t="s">
        <v>67</v>
      </c>
      <c r="F53" s="24" t="s">
        <v>9</v>
      </c>
      <c r="G53" s="25"/>
      <c r="H53" s="25"/>
    </row>
    <row r="54" spans="1:8" ht="40.049999999999997" customHeight="1" x14ac:dyDescent="0.5">
      <c r="A54" s="21">
        <v>51</v>
      </c>
      <c r="B54" s="22" t="s">
        <v>176</v>
      </c>
      <c r="C54" s="22" t="s">
        <v>16</v>
      </c>
      <c r="D54" s="22"/>
      <c r="E54" s="24" t="s">
        <v>67</v>
      </c>
      <c r="F54" s="24" t="s">
        <v>154</v>
      </c>
      <c r="G54" s="25"/>
      <c r="H54" s="25"/>
    </row>
    <row r="55" spans="1:8" ht="40.049999999999997" customHeight="1" x14ac:dyDescent="0.5">
      <c r="A55" s="21">
        <v>52</v>
      </c>
      <c r="B55" s="22" t="s">
        <v>92</v>
      </c>
      <c r="C55" s="22" t="s">
        <v>35</v>
      </c>
      <c r="D55" s="22" t="s">
        <v>93</v>
      </c>
      <c r="E55" s="24" t="s">
        <v>67</v>
      </c>
      <c r="F55" s="24" t="s">
        <v>9</v>
      </c>
      <c r="G55" s="25"/>
      <c r="H55" s="25"/>
    </row>
    <row r="56" spans="1:8" ht="40.049999999999997" customHeight="1" x14ac:dyDescent="0.5">
      <c r="A56" s="21">
        <v>53</v>
      </c>
      <c r="B56" s="22" t="s">
        <v>94</v>
      </c>
      <c r="C56" s="22" t="s">
        <v>6</v>
      </c>
      <c r="D56" s="22" t="s">
        <v>95</v>
      </c>
      <c r="E56" s="24" t="s">
        <v>67</v>
      </c>
      <c r="F56" s="24" t="s">
        <v>9</v>
      </c>
      <c r="G56" s="25"/>
      <c r="H56" s="25"/>
    </row>
    <row r="57" spans="1:8" ht="40.049999999999997" customHeight="1" x14ac:dyDescent="0.5">
      <c r="A57" s="21">
        <v>54</v>
      </c>
      <c r="B57" s="22" t="s">
        <v>182</v>
      </c>
      <c r="C57" s="22" t="s">
        <v>6</v>
      </c>
      <c r="D57" s="22"/>
      <c r="E57" s="24" t="s">
        <v>67</v>
      </c>
      <c r="F57" s="24" t="s">
        <v>9</v>
      </c>
      <c r="G57" s="25"/>
      <c r="H57" s="25"/>
    </row>
    <row r="58" spans="1:8" ht="40.049999999999997" customHeight="1" x14ac:dyDescent="0.5">
      <c r="A58" s="21">
        <v>55</v>
      </c>
      <c r="B58" s="22" t="s">
        <v>96</v>
      </c>
      <c r="C58" s="22" t="s">
        <v>69</v>
      </c>
      <c r="D58" s="22" t="s">
        <v>97</v>
      </c>
      <c r="E58" s="24" t="s">
        <v>67</v>
      </c>
      <c r="F58" s="24" t="s">
        <v>9</v>
      </c>
      <c r="G58" s="25"/>
      <c r="H58" s="25"/>
    </row>
    <row r="59" spans="1:8" ht="40.049999999999997" customHeight="1" x14ac:dyDescent="0.5">
      <c r="A59" s="21">
        <v>56</v>
      </c>
      <c r="B59" s="22" t="s">
        <v>98</v>
      </c>
      <c r="C59" s="22" t="s">
        <v>32</v>
      </c>
      <c r="D59" s="23"/>
      <c r="E59" s="24" t="s">
        <v>67</v>
      </c>
      <c r="F59" s="24" t="s">
        <v>154</v>
      </c>
      <c r="G59" s="25"/>
      <c r="H59" s="25"/>
    </row>
    <row r="60" spans="1:8" ht="40.049999999999997" customHeight="1" x14ac:dyDescent="0.5">
      <c r="A60" s="21">
        <v>57</v>
      </c>
      <c r="B60" s="22" t="s">
        <v>185</v>
      </c>
      <c r="C60" s="22" t="s">
        <v>35</v>
      </c>
      <c r="D60" s="23"/>
      <c r="E60" s="24" t="s">
        <v>67</v>
      </c>
      <c r="F60" s="24" t="s">
        <v>9</v>
      </c>
      <c r="G60" s="25"/>
      <c r="H60" s="25"/>
    </row>
    <row r="61" spans="1:8" ht="40.049999999999997" customHeight="1" x14ac:dyDescent="0.5">
      <c r="A61" s="21">
        <v>58</v>
      </c>
      <c r="B61" s="22" t="s">
        <v>99</v>
      </c>
      <c r="C61" s="22" t="s">
        <v>84</v>
      </c>
      <c r="D61" s="22" t="s">
        <v>100</v>
      </c>
      <c r="E61" s="24" t="s">
        <v>67</v>
      </c>
      <c r="F61" s="24" t="s">
        <v>9</v>
      </c>
      <c r="G61" s="25"/>
      <c r="H61" s="25"/>
    </row>
    <row r="62" spans="1:8" ht="40.049999999999997" customHeight="1" x14ac:dyDescent="0.5">
      <c r="A62" s="21">
        <v>59</v>
      </c>
      <c r="B62" s="22" t="s">
        <v>101</v>
      </c>
      <c r="C62" s="22" t="s">
        <v>6</v>
      </c>
      <c r="D62" s="22" t="s">
        <v>102</v>
      </c>
      <c r="E62" s="24" t="s">
        <v>67</v>
      </c>
      <c r="F62" s="24" t="s">
        <v>9</v>
      </c>
      <c r="G62" s="25"/>
      <c r="H62" s="25"/>
    </row>
    <row r="63" spans="1:8" ht="40.049999999999997" customHeight="1" x14ac:dyDescent="0.5">
      <c r="A63" s="21">
        <v>60</v>
      </c>
      <c r="B63" s="22" t="s">
        <v>103</v>
      </c>
      <c r="C63" s="22" t="s">
        <v>104</v>
      </c>
      <c r="D63" s="22" t="s">
        <v>105</v>
      </c>
      <c r="E63" s="24" t="s">
        <v>67</v>
      </c>
      <c r="F63" s="24" t="s">
        <v>9</v>
      </c>
      <c r="G63" s="25"/>
      <c r="H63" s="25"/>
    </row>
    <row r="64" spans="1:8" ht="40.049999999999997" customHeight="1" x14ac:dyDescent="0.5">
      <c r="A64" s="21">
        <v>61</v>
      </c>
      <c r="B64" s="22" t="s">
        <v>106</v>
      </c>
      <c r="C64" s="22" t="s">
        <v>6</v>
      </c>
      <c r="D64" s="22" t="s">
        <v>107</v>
      </c>
      <c r="E64" s="24" t="s">
        <v>67</v>
      </c>
      <c r="F64" s="24" t="s">
        <v>9</v>
      </c>
      <c r="G64" s="25"/>
      <c r="H64" s="25"/>
    </row>
    <row r="65" spans="1:8" ht="40.049999999999997" customHeight="1" x14ac:dyDescent="0.5">
      <c r="A65" s="21">
        <v>62</v>
      </c>
      <c r="B65" s="22" t="s">
        <v>108</v>
      </c>
      <c r="C65" s="22" t="s">
        <v>84</v>
      </c>
      <c r="D65" s="22" t="s">
        <v>109</v>
      </c>
      <c r="E65" s="24" t="s">
        <v>67</v>
      </c>
      <c r="F65" s="24" t="s">
        <v>9</v>
      </c>
      <c r="G65" s="25"/>
      <c r="H65" s="25"/>
    </row>
    <row r="66" spans="1:8" ht="40.049999999999997" customHeight="1" x14ac:dyDescent="0.5">
      <c r="A66" s="21">
        <v>63</v>
      </c>
      <c r="B66" s="22" t="s">
        <v>110</v>
      </c>
      <c r="C66" s="22" t="s">
        <v>111</v>
      </c>
      <c r="D66" s="23"/>
      <c r="E66" s="24" t="s">
        <v>67</v>
      </c>
      <c r="F66" s="24" t="s">
        <v>154</v>
      </c>
      <c r="G66" s="25"/>
      <c r="H66" s="25"/>
    </row>
    <row r="67" spans="1:8" ht="40.049999999999997" customHeight="1" x14ac:dyDescent="0.5">
      <c r="A67" s="21">
        <v>64</v>
      </c>
      <c r="B67" s="22" t="s">
        <v>187</v>
      </c>
      <c r="C67" s="22" t="s">
        <v>39</v>
      </c>
      <c r="D67" s="23"/>
      <c r="E67" s="24" t="s">
        <v>188</v>
      </c>
      <c r="F67" s="24" t="s">
        <v>9</v>
      </c>
      <c r="G67" s="30" t="s">
        <v>189</v>
      </c>
      <c r="H67" s="25"/>
    </row>
    <row r="68" spans="1:8" ht="40.049999999999997" customHeight="1" x14ac:dyDescent="0.5">
      <c r="A68" s="21">
        <v>65</v>
      </c>
      <c r="B68" s="22" t="s">
        <v>112</v>
      </c>
      <c r="C68" s="22" t="s">
        <v>27</v>
      </c>
      <c r="D68" s="22" t="s">
        <v>113</v>
      </c>
      <c r="E68" s="24" t="s">
        <v>67</v>
      </c>
      <c r="F68" s="24" t="s">
        <v>9</v>
      </c>
      <c r="G68" s="25"/>
      <c r="H68" s="25"/>
    </row>
    <row r="69" spans="1:8" ht="40.049999999999997" customHeight="1" x14ac:dyDescent="0.5">
      <c r="A69" s="21">
        <v>66</v>
      </c>
      <c r="B69" s="22" t="s">
        <v>114</v>
      </c>
      <c r="C69" s="22" t="s">
        <v>115</v>
      </c>
      <c r="D69" s="22" t="s">
        <v>116</v>
      </c>
      <c r="E69" s="24" t="s">
        <v>67</v>
      </c>
      <c r="F69" s="24" t="s">
        <v>9</v>
      </c>
      <c r="G69" s="25"/>
      <c r="H69" s="25"/>
    </row>
    <row r="70" spans="1:8" ht="40.049999999999997" customHeight="1" x14ac:dyDescent="0.5">
      <c r="A70" s="21">
        <v>67</v>
      </c>
      <c r="B70" s="22" t="s">
        <v>117</v>
      </c>
      <c r="C70" s="22" t="s">
        <v>6</v>
      </c>
      <c r="D70" s="22" t="s">
        <v>118</v>
      </c>
      <c r="E70" s="24" t="s">
        <v>67</v>
      </c>
      <c r="F70" s="24" t="s">
        <v>9</v>
      </c>
      <c r="G70" s="25"/>
      <c r="H70" s="25"/>
    </row>
    <row r="71" spans="1:8" ht="40.049999999999997" customHeight="1" x14ac:dyDescent="0.5">
      <c r="A71" s="21">
        <v>68</v>
      </c>
      <c r="B71" s="22" t="s">
        <v>119</v>
      </c>
      <c r="C71" s="22" t="s">
        <v>27</v>
      </c>
      <c r="D71" s="22" t="s">
        <v>120</v>
      </c>
      <c r="E71" s="24" t="s">
        <v>67</v>
      </c>
      <c r="F71" s="24" t="s">
        <v>9</v>
      </c>
      <c r="G71" s="25"/>
      <c r="H71" s="25"/>
    </row>
    <row r="72" spans="1:8" ht="40.049999999999997" customHeight="1" x14ac:dyDescent="0.5">
      <c r="A72" s="21">
        <v>69</v>
      </c>
      <c r="B72" s="22" t="s">
        <v>121</v>
      </c>
      <c r="C72" s="22" t="s">
        <v>35</v>
      </c>
      <c r="D72" s="22" t="s">
        <v>122</v>
      </c>
      <c r="E72" s="24" t="s">
        <v>67</v>
      </c>
      <c r="F72" s="24" t="s">
        <v>9</v>
      </c>
      <c r="G72" s="25"/>
      <c r="H72" s="25"/>
    </row>
    <row r="73" spans="1:8" ht="40.049999999999997" customHeight="1" x14ac:dyDescent="0.5">
      <c r="A73" s="21">
        <v>70</v>
      </c>
      <c r="B73" s="22" t="s">
        <v>124</v>
      </c>
      <c r="C73" s="22" t="s">
        <v>27</v>
      </c>
      <c r="D73" s="22" t="s">
        <v>125</v>
      </c>
      <c r="E73" s="24" t="s">
        <v>67</v>
      </c>
      <c r="F73" s="24" t="s">
        <v>9</v>
      </c>
      <c r="G73" s="25"/>
      <c r="H73" s="25"/>
    </row>
    <row r="74" spans="1:8" ht="40.049999999999997" customHeight="1" x14ac:dyDescent="0.5">
      <c r="A74" s="21">
        <v>71</v>
      </c>
      <c r="B74" s="22"/>
      <c r="C74" s="22"/>
      <c r="D74" s="22"/>
      <c r="E74" s="24"/>
      <c r="F74" s="24"/>
      <c r="G74" s="25"/>
      <c r="H74" s="25"/>
    </row>
    <row r="75" spans="1:8" ht="40.049999999999997" customHeight="1" x14ac:dyDescent="0.5">
      <c r="A75" s="21">
        <v>73</v>
      </c>
      <c r="B75" s="22"/>
      <c r="C75" s="22"/>
      <c r="D75" s="22"/>
      <c r="E75" s="24"/>
      <c r="F75" s="24"/>
      <c r="G75" s="25"/>
      <c r="H75" s="25"/>
    </row>
    <row r="76" spans="1:8" ht="40.049999999999997" customHeight="1" x14ac:dyDescent="0.5">
      <c r="A76" s="21">
        <v>74</v>
      </c>
      <c r="B76" s="22"/>
      <c r="C76" s="22"/>
      <c r="D76" s="22"/>
      <c r="E76" s="24"/>
      <c r="F76" s="24"/>
      <c r="G76" s="25"/>
      <c r="H76" s="25"/>
    </row>
    <row r="77" spans="1:8" ht="40.049999999999997" customHeight="1" x14ac:dyDescent="0.5">
      <c r="A77" s="26">
        <v>75</v>
      </c>
      <c r="B77" s="22" t="s">
        <v>126</v>
      </c>
      <c r="C77" s="22" t="s">
        <v>84</v>
      </c>
      <c r="D77" s="22" t="s">
        <v>127</v>
      </c>
      <c r="E77" s="24" t="s">
        <v>128</v>
      </c>
      <c r="F77" s="24" t="s">
        <v>9</v>
      </c>
      <c r="G77" s="25"/>
      <c r="H77" s="25"/>
    </row>
    <row r="78" spans="1:8" ht="40.049999999999997" customHeight="1" x14ac:dyDescent="0.5">
      <c r="A78" s="26">
        <v>76</v>
      </c>
      <c r="B78" s="22" t="s">
        <v>129</v>
      </c>
      <c r="C78" s="22" t="s">
        <v>27</v>
      </c>
      <c r="D78" s="22" t="s">
        <v>130</v>
      </c>
      <c r="E78" s="24" t="s">
        <v>128</v>
      </c>
      <c r="F78" s="24" t="s">
        <v>9</v>
      </c>
      <c r="G78" s="25"/>
      <c r="H78" s="25"/>
    </row>
    <row r="79" spans="1:8" ht="40.049999999999997" customHeight="1" x14ac:dyDescent="0.5">
      <c r="A79" s="26">
        <v>77</v>
      </c>
      <c r="B79" s="22" t="s">
        <v>131</v>
      </c>
      <c r="C79" s="22" t="s">
        <v>84</v>
      </c>
      <c r="D79" s="22" t="s">
        <v>132</v>
      </c>
      <c r="E79" s="24" t="s">
        <v>128</v>
      </c>
      <c r="F79" s="24" t="s">
        <v>9</v>
      </c>
      <c r="G79" s="25"/>
      <c r="H79" s="25"/>
    </row>
    <row r="80" spans="1:8" ht="40.049999999999997" customHeight="1" x14ac:dyDescent="0.5">
      <c r="A80" s="26">
        <v>78</v>
      </c>
      <c r="B80" s="22" t="s">
        <v>171</v>
      </c>
      <c r="C80" s="22" t="s">
        <v>172</v>
      </c>
      <c r="D80" s="22"/>
      <c r="E80" s="24" t="s">
        <v>128</v>
      </c>
      <c r="F80" s="24" t="s">
        <v>9</v>
      </c>
      <c r="G80" s="25"/>
      <c r="H80" s="25"/>
    </row>
    <row r="81" spans="1:8" ht="40.049999999999997" customHeight="1" x14ac:dyDescent="0.5">
      <c r="A81" s="26">
        <v>79</v>
      </c>
      <c r="B81" s="22" t="s">
        <v>179</v>
      </c>
      <c r="C81" s="22" t="s">
        <v>6</v>
      </c>
      <c r="D81" s="22"/>
      <c r="E81" s="24" t="s">
        <v>128</v>
      </c>
      <c r="F81" s="24" t="s">
        <v>9</v>
      </c>
      <c r="G81" s="25"/>
      <c r="H81" s="25"/>
    </row>
    <row r="82" spans="1:8" ht="40.049999999999997" customHeight="1" x14ac:dyDescent="0.5">
      <c r="A82" s="26">
        <v>80</v>
      </c>
      <c r="B82" s="22" t="s">
        <v>133</v>
      </c>
      <c r="C82" s="22" t="s">
        <v>27</v>
      </c>
      <c r="D82" s="22" t="s">
        <v>134</v>
      </c>
      <c r="E82" s="24" t="s">
        <v>128</v>
      </c>
      <c r="F82" s="24" t="s">
        <v>9</v>
      </c>
      <c r="G82" s="25"/>
      <c r="H82" s="25"/>
    </row>
    <row r="83" spans="1:8" ht="40.049999999999997" customHeight="1" x14ac:dyDescent="0.5">
      <c r="A83" s="26">
        <v>81</v>
      </c>
      <c r="B83" s="22" t="s">
        <v>135</v>
      </c>
      <c r="C83" s="22" t="s">
        <v>69</v>
      </c>
      <c r="D83" s="22" t="s">
        <v>136</v>
      </c>
      <c r="E83" s="24" t="s">
        <v>128</v>
      </c>
      <c r="F83" s="24" t="s">
        <v>9</v>
      </c>
      <c r="G83" s="25"/>
      <c r="H83" s="25"/>
    </row>
    <row r="84" spans="1:8" ht="40.049999999999997" customHeight="1" x14ac:dyDescent="0.5">
      <c r="A84" s="26">
        <v>82</v>
      </c>
      <c r="B84" s="22" t="s">
        <v>137</v>
      </c>
      <c r="C84" s="22" t="s">
        <v>104</v>
      </c>
      <c r="D84" s="22" t="s">
        <v>138</v>
      </c>
      <c r="E84" s="24" t="s">
        <v>128</v>
      </c>
      <c r="F84" s="24" t="s">
        <v>9</v>
      </c>
      <c r="G84" s="25"/>
      <c r="H84" s="25"/>
    </row>
    <row r="85" spans="1:8" ht="40.049999999999997" customHeight="1" x14ac:dyDescent="0.5">
      <c r="A85" s="26">
        <v>83</v>
      </c>
      <c r="B85" s="22" t="s">
        <v>175</v>
      </c>
      <c r="C85" s="22" t="s">
        <v>69</v>
      </c>
      <c r="D85" s="22"/>
      <c r="E85" s="24" t="s">
        <v>142</v>
      </c>
      <c r="F85" s="24" t="s">
        <v>9</v>
      </c>
      <c r="G85" s="25"/>
      <c r="H85" s="25"/>
    </row>
    <row r="86" spans="1:8" ht="40.049999999999997" customHeight="1" x14ac:dyDescent="0.5">
      <c r="A86" s="26">
        <v>84</v>
      </c>
      <c r="B86" s="22" t="s">
        <v>139</v>
      </c>
      <c r="C86" s="22" t="s">
        <v>140</v>
      </c>
      <c r="D86" s="22" t="s">
        <v>141</v>
      </c>
      <c r="E86" s="24" t="s">
        <v>142</v>
      </c>
      <c r="F86" s="24" t="s">
        <v>9</v>
      </c>
      <c r="G86" s="25"/>
      <c r="H86" s="25"/>
    </row>
    <row r="87" spans="1:8" ht="40.049999999999997" customHeight="1" x14ac:dyDescent="0.5">
      <c r="A87" s="26">
        <v>85</v>
      </c>
      <c r="B87" s="22" t="s">
        <v>143</v>
      </c>
      <c r="C87" s="22" t="s">
        <v>104</v>
      </c>
      <c r="D87" s="22" t="s">
        <v>144</v>
      </c>
      <c r="E87" s="24" t="s">
        <v>142</v>
      </c>
      <c r="F87" s="24" t="s">
        <v>9</v>
      </c>
      <c r="G87" s="25"/>
      <c r="H87" s="25"/>
    </row>
    <row r="88" spans="1:8" ht="40.049999999999997" customHeight="1" x14ac:dyDescent="0.5">
      <c r="A88" s="26">
        <v>86</v>
      </c>
      <c r="B88" s="22" t="s">
        <v>145</v>
      </c>
      <c r="C88" s="22" t="s">
        <v>27</v>
      </c>
      <c r="D88" s="22" t="s">
        <v>146</v>
      </c>
      <c r="E88" s="24" t="s">
        <v>147</v>
      </c>
      <c r="F88" s="24" t="s">
        <v>9</v>
      </c>
      <c r="G88" s="25"/>
      <c r="H88" s="25"/>
    </row>
    <row r="89" spans="1:8" ht="40.049999999999997" customHeight="1" x14ac:dyDescent="0.5">
      <c r="A89" s="26">
        <v>87</v>
      </c>
      <c r="B89" s="22" t="s">
        <v>148</v>
      </c>
      <c r="C89" s="22" t="s">
        <v>27</v>
      </c>
      <c r="D89" s="22" t="s">
        <v>149</v>
      </c>
      <c r="E89" s="24" t="s">
        <v>147</v>
      </c>
      <c r="F89" s="24" t="s">
        <v>9</v>
      </c>
      <c r="G89" s="25"/>
      <c r="H89" s="25"/>
    </row>
    <row r="90" spans="1:8" ht="40.049999999999997" customHeight="1" x14ac:dyDescent="0.5">
      <c r="A90" s="26">
        <v>88</v>
      </c>
      <c r="B90" s="22" t="s">
        <v>150</v>
      </c>
      <c r="C90" s="22" t="s">
        <v>6</v>
      </c>
      <c r="D90" s="22" t="s">
        <v>151</v>
      </c>
      <c r="E90" s="24" t="s">
        <v>147</v>
      </c>
      <c r="F90" s="24" t="s">
        <v>9</v>
      </c>
      <c r="G90" s="25"/>
      <c r="H90" s="25"/>
    </row>
    <row r="91" spans="1:8" ht="40.049999999999997" customHeight="1" x14ac:dyDescent="0.5">
      <c r="A91" s="26">
        <v>89</v>
      </c>
      <c r="B91" s="22" t="s">
        <v>152</v>
      </c>
      <c r="C91" s="22" t="s">
        <v>6</v>
      </c>
      <c r="D91" s="22" t="s">
        <v>153</v>
      </c>
      <c r="E91" s="24" t="s">
        <v>147</v>
      </c>
      <c r="F91" s="24" t="s">
        <v>9</v>
      </c>
      <c r="G91" s="25"/>
      <c r="H91" s="25"/>
    </row>
    <row r="92" spans="1:8" ht="40.049999999999997" customHeight="1" x14ac:dyDescent="0.5">
      <c r="A92" s="26">
        <v>90</v>
      </c>
      <c r="B92" s="22"/>
      <c r="C92" s="22"/>
      <c r="D92" s="22"/>
      <c r="E92" s="24"/>
      <c r="F92" s="24"/>
      <c r="G92" s="25"/>
      <c r="H92" s="25"/>
    </row>
    <row r="93" spans="1:8" ht="40.049999999999997" customHeight="1" x14ac:dyDescent="0.5">
      <c r="A93" s="26">
        <v>91</v>
      </c>
      <c r="B93" s="22"/>
      <c r="C93" s="22"/>
      <c r="D93" s="22"/>
      <c r="E93" s="24"/>
      <c r="F93" s="24"/>
      <c r="G93" s="25"/>
      <c r="H93" s="25"/>
    </row>
    <row r="94" spans="1:8" ht="40.049999999999997" customHeight="1" x14ac:dyDescent="0.5">
      <c r="A94" s="26">
        <v>92</v>
      </c>
      <c r="B94" s="22"/>
      <c r="C94" s="22"/>
      <c r="D94" s="22"/>
      <c r="E94" s="24"/>
      <c r="F94" s="24"/>
      <c r="G94" s="25"/>
      <c r="H94" s="25"/>
    </row>
    <row r="95" spans="1:8" ht="40.049999999999997" customHeight="1" x14ac:dyDescent="0.5">
      <c r="A95" s="21">
        <v>93</v>
      </c>
      <c r="B95" s="22" t="s">
        <v>5</v>
      </c>
      <c r="C95" s="22" t="s">
        <v>6</v>
      </c>
      <c r="D95" s="22" t="s">
        <v>7</v>
      </c>
      <c r="E95" s="24" t="s">
        <v>8</v>
      </c>
      <c r="F95" s="24" t="s">
        <v>9</v>
      </c>
      <c r="G95" s="25"/>
      <c r="H95" s="25"/>
    </row>
    <row r="96" spans="1:8" ht="40.049999999999997" customHeight="1" x14ac:dyDescent="0.5">
      <c r="A96" s="21">
        <v>94</v>
      </c>
      <c r="B96" s="22" t="s">
        <v>10</v>
      </c>
      <c r="C96" s="22" t="s">
        <v>11</v>
      </c>
      <c r="D96" s="23"/>
      <c r="E96" s="24" t="s">
        <v>8</v>
      </c>
      <c r="F96" s="24" t="s">
        <v>154</v>
      </c>
      <c r="G96" s="25"/>
      <c r="H96" s="25"/>
    </row>
    <row r="97" spans="1:8" ht="40.049999999999997" customHeight="1" x14ac:dyDescent="0.5">
      <c r="A97" s="21">
        <v>95</v>
      </c>
      <c r="B97" s="22" t="s">
        <v>177</v>
      </c>
      <c r="C97" s="22" t="s">
        <v>12</v>
      </c>
      <c r="D97" s="23"/>
      <c r="E97" s="24" t="s">
        <v>8</v>
      </c>
      <c r="F97" s="24" t="s">
        <v>154</v>
      </c>
      <c r="G97" s="25"/>
      <c r="H97" s="25"/>
    </row>
    <row r="98" spans="1:8" ht="40.049999999999997" customHeight="1" x14ac:dyDescent="0.5">
      <c r="A98" s="21">
        <v>96</v>
      </c>
      <c r="B98" s="22" t="s">
        <v>13</v>
      </c>
      <c r="C98" s="22" t="s">
        <v>6</v>
      </c>
      <c r="D98" s="22" t="s">
        <v>14</v>
      </c>
      <c r="E98" s="24" t="s">
        <v>8</v>
      </c>
      <c r="F98" s="24" t="s">
        <v>9</v>
      </c>
      <c r="G98" s="25"/>
      <c r="H98" s="25"/>
    </row>
    <row r="99" spans="1:8" ht="40.049999999999997" customHeight="1" x14ac:dyDescent="0.5">
      <c r="A99" s="21">
        <v>97</v>
      </c>
      <c r="B99" s="22" t="s">
        <v>15</v>
      </c>
      <c r="C99" s="22" t="s">
        <v>16</v>
      </c>
      <c r="D99" s="23"/>
      <c r="E99" s="24" t="s">
        <v>8</v>
      </c>
      <c r="F99" s="24" t="s">
        <v>154</v>
      </c>
      <c r="G99" s="25"/>
      <c r="H99" s="25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29" orientation="portrait" r:id="rId1"/>
  <rowBreaks count="1" manualBreakCount="1">
    <brk id="41" max="16383" man="1"/>
  </rowBreaks>
</worksheet>
</file>

<file path=docMetadata/LabelInfo.xml><?xml version="1.0" encoding="utf-8"?>
<clbl:labelList xmlns:clbl="http://schemas.microsoft.com/office/2020/mipLabelMetadata">
  <clbl:label id="{e0365f0d-8f9d-40c4-8075-35cab2299a21}" enabled="0" method="" siteId="{e0365f0d-8f9d-40c4-8075-35cab2299a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Cat.1</vt:lpstr>
      <vt:lpstr>Cat.2</vt:lpstr>
      <vt:lpstr>Cat.3</vt:lpstr>
      <vt:lpstr>Cat.4</vt:lpstr>
      <vt:lpstr>Fem</vt:lpstr>
      <vt:lpstr>U15_U16</vt:lpstr>
      <vt:lpstr>Liste_Dossards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Bucci, Gregory</dc:creator>
  <cp:lastModifiedBy>Bucci, Gregory</cp:lastModifiedBy>
  <cp:lastPrinted>2026-04-26T15:12:12Z</cp:lastPrinted>
  <dcterms:created xsi:type="dcterms:W3CDTF">2026-04-23T19:56:44Z</dcterms:created>
  <dcterms:modified xsi:type="dcterms:W3CDTF">2026-04-26T19:50:39Z</dcterms:modified>
</cp:coreProperties>
</file>